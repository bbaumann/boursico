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odeName="ThisWorkbook" defaultThemeVersion="124226"/>
  <mc:AlternateContent xmlns:mc="http://schemas.openxmlformats.org/markup-compatibility/2006">
    <mc:Choice Requires="x15">
      <x15ac:absPath xmlns:x15ac="http://schemas.microsoft.com/office/spreadsheetml/2010/11/ac" url="C:\dev\association-sale-tool\resources\"/>
    </mc:Choice>
  </mc:AlternateContent>
  <xr:revisionPtr revIDLastSave="0" documentId="8_{D75180CF-22B8-40DF-A8A7-C2ACBCEDB83D}" xr6:coauthVersionLast="47" xr6:coauthVersionMax="47" xr10:uidLastSave="{00000000-0000-0000-0000-000000000000}"/>
  <bookViews>
    <workbookView xWindow="-110" yWindow="-110" windowWidth="25820" windowHeight="15500" firstSheet="1" activeTab="1" xr2:uid="{00000000-000D-0000-FFFF-FFFF00000000}"/>
  </bookViews>
  <sheets>
    <sheet name="codes postaux" sheetId="74" state="hidden" r:id="rId1"/>
    <sheet name="client01" sheetId="54" r:id="rId2"/>
  </sheets>
  <definedNames>
    <definedName name="_xlnm._FilterDatabase" localSheetId="0" hidden="1">'codes postaux'!$A$3:$D$35</definedName>
    <definedName name="_xlnm.Print_Area" localSheetId="1">client01!$A$1:$I$22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54" l="1"/>
  <c r="E9" i="54" l="1"/>
  <c r="L39" i="74"/>
  <c r="L38" i="74"/>
  <c r="L37" i="74"/>
  <c r="L36" i="74"/>
  <c r="L35" i="74"/>
  <c r="L34" i="74"/>
  <c r="L33" i="74"/>
  <c r="L32" i="74"/>
  <c r="L31" i="74"/>
  <c r="L30" i="74"/>
  <c r="L29" i="74"/>
  <c r="L28" i="74"/>
  <c r="L27" i="74"/>
  <c r="L26" i="74"/>
  <c r="L25" i="74"/>
  <c r="L24" i="74"/>
  <c r="L23" i="74"/>
  <c r="L22" i="74"/>
  <c r="L21" i="74"/>
  <c r="L20" i="74"/>
  <c r="L19" i="74"/>
  <c r="L18" i="74"/>
  <c r="L17" i="74"/>
  <c r="L16" i="74"/>
  <c r="L15" i="74"/>
  <c r="L14" i="74"/>
  <c r="L13" i="74"/>
  <c r="L12" i="74"/>
  <c r="L11" i="74"/>
  <c r="L10" i="74"/>
  <c r="L9" i="74"/>
  <c r="L8" i="74"/>
  <c r="L7" i="74"/>
  <c r="L6" i="74"/>
  <c r="L5" i="74"/>
  <c r="L4" i="74"/>
  <c r="L3" i="74"/>
  <c r="L2" i="74"/>
  <c r="E8" i="54"/>
  <c r="E7" i="54"/>
  <c r="J8" i="54"/>
  <c r="J7" i="54"/>
  <c r="F6" i="54" l="1"/>
  <c r="J9" i="54"/>
  <c r="E10" i="54" l="1"/>
  <c r="J10" i="54"/>
  <c r="E11" i="54" l="1"/>
  <c r="J11" i="54"/>
  <c r="E35" i="54"/>
  <c r="E34" i="54"/>
  <c r="E33" i="54"/>
  <c r="E32" i="54"/>
  <c r="E31" i="54"/>
  <c r="E30" i="54"/>
  <c r="E29" i="54"/>
  <c r="E28" i="54"/>
  <c r="E27" i="54"/>
  <c r="E26" i="54"/>
  <c r="E25" i="54"/>
  <c r="E24" i="54"/>
  <c r="E23" i="54"/>
  <c r="E22" i="54"/>
  <c r="H8" i="54"/>
  <c r="E12" i="54" l="1"/>
  <c r="J12" i="54"/>
  <c r="E13" i="54" l="1"/>
  <c r="J13" i="54"/>
  <c r="E14" i="54" l="1"/>
  <c r="J14" i="54"/>
  <c r="E15" i="54" l="1"/>
  <c r="J15" i="54"/>
  <c r="E16" i="54" l="1"/>
  <c r="J16" i="54"/>
  <c r="E17" i="54" l="1"/>
  <c r="J17" i="54"/>
  <c r="E18" i="54" l="1"/>
  <c r="J18" i="54"/>
  <c r="E19" i="54" l="1"/>
  <c r="J19" i="54"/>
  <c r="E20" i="54" l="1"/>
  <c r="J20" i="54"/>
  <c r="J21" i="54" l="1"/>
  <c r="E21" i="54"/>
</calcChain>
</file>

<file path=xl/sharedStrings.xml><?xml version="1.0" encoding="utf-8"?>
<sst xmlns="http://schemas.openxmlformats.org/spreadsheetml/2006/main" count="156" uniqueCount="108">
  <si>
    <t>libellé</t>
  </si>
  <si>
    <t>prix</t>
  </si>
  <si>
    <t>LISTE</t>
  </si>
  <si>
    <t>Montant DEPOT</t>
  </si>
  <si>
    <t xml:space="preserve"> </t>
  </si>
  <si>
    <t>TELEPHONE</t>
  </si>
  <si>
    <t>CP VILLE</t>
  </si>
  <si>
    <t>Règlement dépôt</t>
  </si>
  <si>
    <t>Multiple de 1 €</t>
  </si>
  <si>
    <t xml:space="preserve">à régler lors du dépôt </t>
  </si>
  <si>
    <t xml:space="preserve">de vos jouets le </t>
  </si>
  <si>
    <t xml:space="preserve">vendredi après midi  </t>
  </si>
  <si>
    <t>ou le samedi matin</t>
  </si>
  <si>
    <t>sans décimale</t>
  </si>
  <si>
    <t>ATTENTION</t>
  </si>
  <si>
    <t>Les documents word</t>
  </si>
  <si>
    <t xml:space="preserve">ou les documents </t>
  </si>
  <si>
    <t>rejetés.</t>
  </si>
  <si>
    <t>Seuls les documents</t>
  </si>
  <si>
    <t>photographiés seront</t>
  </si>
  <si>
    <t>seront pris en comptes.</t>
  </si>
  <si>
    <t>de type fichier Excel</t>
  </si>
  <si>
    <t>(xls ou xlsx) ou au</t>
  </si>
  <si>
    <t xml:space="preserve">format Open Office </t>
  </si>
  <si>
    <t>ST EGREVE</t>
  </si>
  <si>
    <t>38120 ST EGREVE</t>
  </si>
  <si>
    <t>BEAUCROISSANT</t>
  </si>
  <si>
    <t>BOURGOIN</t>
  </si>
  <si>
    <t>CORENC</t>
  </si>
  <si>
    <t>CORRENçON</t>
  </si>
  <si>
    <t>COUBLEVIE</t>
  </si>
  <si>
    <t>CROLLES</t>
  </si>
  <si>
    <t>DOMENE</t>
  </si>
  <si>
    <t>ECHIROLLES</t>
  </si>
  <si>
    <t>FONTAINE</t>
  </si>
  <si>
    <t>FONTANIL CORNILLON</t>
  </si>
  <si>
    <t>GRENOBLE</t>
  </si>
  <si>
    <t>LA BUISSE</t>
  </si>
  <si>
    <t>LA COTE ST ANDRE</t>
  </si>
  <si>
    <t>LA TRONCHE</t>
  </si>
  <si>
    <t>MOIRANS</t>
  </si>
  <si>
    <t>MONT ST MARTIN</t>
  </si>
  <si>
    <t>POMMIERS LA PLACETTE</t>
  </si>
  <si>
    <t>PROVEYSIEUX</t>
  </si>
  <si>
    <t>QUAIX EN CHARTREUSE</t>
  </si>
  <si>
    <t>SASSENAGE</t>
  </si>
  <si>
    <t>SEYSSINET PARISET</t>
  </si>
  <si>
    <t>SEYSSINS</t>
  </si>
  <si>
    <t>ST CASSIEN</t>
  </si>
  <si>
    <t>ST JEAN DE MOIRANS</t>
  </si>
  <si>
    <t>ST MARTIN LE VINOUX</t>
  </si>
  <si>
    <t>ST MARTIN URIAGE</t>
  </si>
  <si>
    <t>TULLINS</t>
  </si>
  <si>
    <t>VILLARD DE LANS</t>
  </si>
  <si>
    <t>VOIRON</t>
  </si>
  <si>
    <t>VOREPPE</t>
  </si>
  <si>
    <t>VOUREY</t>
  </si>
  <si>
    <t>38140 BEAUCROISSANT</t>
  </si>
  <si>
    <t>38300 BOURGOIN</t>
  </si>
  <si>
    <t>38700 CORENC</t>
  </si>
  <si>
    <t>38250 CORRENçON</t>
  </si>
  <si>
    <t>38500 COUBLEVIE</t>
  </si>
  <si>
    <t>38920 CROLLES</t>
  </si>
  <si>
    <t>38420 DOMENE</t>
  </si>
  <si>
    <t>38130 ECHIROLLES</t>
  </si>
  <si>
    <t>38600 FONTAINE</t>
  </si>
  <si>
    <t>38120 FONTANIL CORNILLON</t>
  </si>
  <si>
    <t>38000 GRENOBLE</t>
  </si>
  <si>
    <t>38140 IZEAUX</t>
  </si>
  <si>
    <t>IZEAUX</t>
  </si>
  <si>
    <t>38500 LA BUISSE</t>
  </si>
  <si>
    <t>38260 LA COTE ST ANDRE</t>
  </si>
  <si>
    <t>38700 LA TRONCHE</t>
  </si>
  <si>
    <t>38430 MOIRANS</t>
  </si>
  <si>
    <t>38120 MONT ST MARTIN</t>
  </si>
  <si>
    <t>38340 POMMIERS LA PLACETTE</t>
  </si>
  <si>
    <t>38120 PROVEYSIEUX</t>
  </si>
  <si>
    <t>38950 QUAIX EN CHARTREUSE</t>
  </si>
  <si>
    <t>38140 RIVES</t>
  </si>
  <si>
    <t>RIVES</t>
  </si>
  <si>
    <t>38360 SASSENAGE</t>
  </si>
  <si>
    <t>38170 SEYSSINET PARISET</t>
  </si>
  <si>
    <t>38180 SEYSSINS</t>
  </si>
  <si>
    <t>38590 SILLANS</t>
  </si>
  <si>
    <t>SILLANS</t>
  </si>
  <si>
    <t>38500 ST CASSIEN</t>
  </si>
  <si>
    <t>38430 ST JEAN DE MOIRANS</t>
  </si>
  <si>
    <t>38950 ST MARTIN LE VINOUX</t>
  </si>
  <si>
    <t>38070 ST QUENTIN SUR ISERE</t>
  </si>
  <si>
    <t>ST QUENTIN SUR ISERE</t>
  </si>
  <si>
    <t>38410 ST MARTIN URIAGE</t>
  </si>
  <si>
    <t>38210 TULLINS</t>
  </si>
  <si>
    <t>38450 VIF</t>
  </si>
  <si>
    <t>VIF</t>
  </si>
  <si>
    <t>38250 VILLARD DE LANS</t>
  </si>
  <si>
    <t>38470 VINAY</t>
  </si>
  <si>
    <t>VINAY</t>
  </si>
  <si>
    <t>38500 VOIRON</t>
  </si>
  <si>
    <t>38340 VOREPPE</t>
  </si>
  <si>
    <t>38210 VOUREY</t>
  </si>
  <si>
    <t>Pour rappel: prix de vente minimum d'un jouet est de 1 euro et prix rond à indiquer. Les jouets doivent être propres et en état de marche. Tout jouet défectueux sera remboursé à l'acheteur et déduit au vendeur.  Les peluches et objets en tissu ne sont pas acceptés. Les vélo, les trotinettes électriques et les accessoires de sécurité comme les casques de ski ne sont pas acceptés. Lors du dépôt, les jouets à piles devront en être équipés, afin que l'équipe de l'association puisse vérifier l'état de marche du jouet. Vous pourrez soit laisser les piles, soit les reprendre.</t>
  </si>
  <si>
    <t>NOM  PRENOM</t>
  </si>
  <si>
    <t>INTERNET 2026</t>
  </si>
  <si>
    <t>INTERNET User</t>
  </si>
  <si>
    <t>Liste à envoyer à bourseauxjouets@gmail.com</t>
  </si>
  <si>
    <t>2€ tous les 15 articles</t>
  </si>
  <si>
    <t>Frais de dépot</t>
  </si>
  <si>
    <t>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</si>
</sst>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quot;€&quot;;[Red]\-#,##0\ &quot;€&quot;"/>
    <numFmt numFmtId="166" formatCode="#,##0.00\ &quot;€&quot;"/>
    <numFmt numFmtId="167" formatCode="0#&quot; &quot;##&quot; &quot;##&quot; &quot;##&quot; &quot;##"/>
    <numFmt numFmtId="169" formatCode="#,##0\ [$€-1]"/>
  </numFmts>
  <fonts count="14" x14ac:knownFonts="1">
    <font>
      <sz val="11"/>
      <color theme="1"/>
      <name val="Calibri"/>
      <family val="2"/>
      <scheme val="minor"/>
    </font>
    <font>
      <b/>
      <sz val="11"/>
      <color theme="1"/>
      <name val="Calibri"/>
      <family val="2"/>
      <scheme val="minor"/>
    </font>
    <font>
      <sz val="10"/>
      <name val="Arial"/>
      <family val="2"/>
    </font>
    <font>
      <sz val="8"/>
      <name val="Arial"/>
      <family val="2"/>
    </font>
    <font>
      <sz val="26"/>
      <color theme="1"/>
      <name val="Calibri"/>
      <family val="2"/>
      <scheme val="minor"/>
    </font>
    <font>
      <sz val="4"/>
      <color theme="1"/>
      <name val="Calibri"/>
      <family val="2"/>
      <scheme val="minor"/>
    </font>
    <font>
      <sz val="12"/>
      <color rgb="FF000000"/>
      <name val="Times New Roman"/>
      <family val="1"/>
    </font>
    <font>
      <b/>
      <sz val="11"/>
      <color rgb="FFFF0000"/>
      <name val="Calibri"/>
      <family val="2"/>
      <scheme val="minor"/>
    </font>
    <font>
      <sz val="14"/>
      <color theme="1"/>
      <name val="Calibri"/>
      <family val="2"/>
      <scheme val="minor"/>
    </font>
    <font>
      <b/>
      <sz val="14"/>
      <color rgb="FFFF0000"/>
      <name val="Calibri"/>
      <family val="2"/>
      <scheme val="minor"/>
    </font>
    <font>
      <b/>
      <sz val="12"/>
      <color rgb="FFFF0000"/>
      <name val="Calibri"/>
      <family val="2"/>
      <scheme val="minor"/>
    </font>
    <font>
      <b/>
      <sz val="11"/>
      <color indexed="10"/>
      <name val="Calibri"/>
      <family val="2"/>
      <scheme val="minor"/>
    </font>
    <font>
      <b/>
      <sz val="18"/>
      <color theme="1"/>
      <name val="Calibri"/>
      <family val="2"/>
      <scheme val="minor"/>
    </font>
    <font>
      <b/>
      <sz val="18"/>
      <color indexed="8"/>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3300"/>
        <bgColor indexed="64"/>
      </patternFill>
    </fill>
  </fills>
  <borders count="10">
    <border>
      <left/>
      <right/>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cellStyleXfs>
  <cellXfs count="50">
    <xf numFmtId="0" fontId="0" fillId="0" borderId="0" xfId="0"/>
    <xf numFmtId="166" fontId="0" fillId="0" borderId="0" xfId="0" applyNumberFormat="1"/>
    <xf numFmtId="0" fontId="1" fillId="2" borderId="0" xfId="0" applyFont="1" applyFill="1"/>
    <xf numFmtId="0" fontId="1" fillId="3" borderId="0" xfId="0" applyFont="1" applyFill="1"/>
    <xf numFmtId="0" fontId="0" fillId="0" borderId="0" xfId="0" applyProtection="1">
      <protection locked="0"/>
    </xf>
    <xf numFmtId="0" fontId="3" fillId="0" borderId="7" xfId="1" applyFont="1" applyBorder="1" applyAlignment="1" applyProtection="1">
      <alignment vertical="center" wrapText="1"/>
      <protection locked="0"/>
    </xf>
    <xf numFmtId="166" fontId="3" fillId="0" borderId="7" xfId="0" applyNumberFormat="1" applyFont="1" applyBorder="1" applyAlignment="1" applyProtection="1">
      <alignment horizontal="center"/>
      <protection locked="0"/>
    </xf>
    <xf numFmtId="0" fontId="0" fillId="4" borderId="0" xfId="0" applyFill="1"/>
    <xf numFmtId="166" fontId="0" fillId="4" borderId="0" xfId="0" applyNumberFormat="1" applyFill="1"/>
    <xf numFmtId="0" fontId="0" fillId="4" borderId="0" xfId="0" applyFill="1" applyAlignment="1">
      <alignment horizontal="left"/>
    </xf>
    <xf numFmtId="0" fontId="5" fillId="4" borderId="0" xfId="0" applyFont="1" applyFill="1" applyAlignment="1">
      <alignment vertical="center"/>
    </xf>
    <xf numFmtId="0" fontId="0" fillId="4" borderId="0" xfId="0" applyFill="1" applyProtection="1">
      <protection locked="0"/>
    </xf>
    <xf numFmtId="166" fontId="1" fillId="4" borderId="0" xfId="0" applyNumberFormat="1" applyFont="1" applyFill="1"/>
    <xf numFmtId="0" fontId="0" fillId="2" borderId="4" xfId="0" applyFill="1" applyBorder="1"/>
    <xf numFmtId="0" fontId="0" fillId="2" borderId="6" xfId="0" applyFill="1" applyBorder="1"/>
    <xf numFmtId="166" fontId="0" fillId="4" borderId="0" xfId="0" applyNumberFormat="1" applyFill="1" applyAlignment="1">
      <alignment horizontal="center"/>
    </xf>
    <xf numFmtId="166" fontId="7" fillId="4" borderId="0" xfId="0" applyNumberFormat="1" applyFont="1" applyFill="1" applyAlignment="1">
      <alignment horizontal="center"/>
    </xf>
    <xf numFmtId="0" fontId="1" fillId="4" borderId="0" xfId="0" applyFont="1" applyFill="1"/>
    <xf numFmtId="0" fontId="1" fillId="4" borderId="0" xfId="0" applyFont="1" applyFill="1" applyAlignment="1">
      <alignment vertical="center"/>
    </xf>
    <xf numFmtId="0" fontId="1" fillId="0" borderId="0" xfId="0" applyFont="1" applyProtection="1">
      <protection locked="0"/>
    </xf>
    <xf numFmtId="0" fontId="1" fillId="4" borderId="0" xfId="0" applyFont="1" applyFill="1" applyProtection="1">
      <protection locked="0"/>
    </xf>
    <xf numFmtId="0" fontId="8" fillId="4" borderId="0" xfId="0" applyFont="1" applyFill="1" applyAlignment="1">
      <alignment vertical="center"/>
    </xf>
    <xf numFmtId="0" fontId="7" fillId="4" borderId="0" xfId="0" applyFont="1" applyFill="1" applyAlignment="1">
      <alignment vertical="center"/>
    </xf>
    <xf numFmtId="0" fontId="11" fillId="4" borderId="0" xfId="0" applyFont="1" applyFill="1"/>
    <xf numFmtId="0" fontId="0" fillId="0" borderId="0" xfId="0" applyAlignment="1">
      <alignment horizontal="left"/>
    </xf>
    <xf numFmtId="0" fontId="1" fillId="3" borderId="4" xfId="0" applyFont="1" applyFill="1" applyBorder="1"/>
    <xf numFmtId="0" fontId="0" fillId="0" borderId="6" xfId="0" applyBorder="1"/>
    <xf numFmtId="0" fontId="6" fillId="0" borderId="0" xfId="0" applyFont="1" applyAlignment="1">
      <alignment wrapText="1"/>
    </xf>
    <xf numFmtId="0" fontId="0" fillId="0" borderId="0" xfId="0"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4" fillId="2" borderId="0" xfId="0" applyFont="1" applyFill="1"/>
    <xf numFmtId="0" fontId="0" fillId="0" borderId="0" xfId="0"/>
    <xf numFmtId="0" fontId="12" fillId="3" borderId="4" xfId="0" applyFont="1" applyFill="1" applyBorder="1" applyAlignment="1" applyProtection="1">
      <alignment horizontal="center"/>
      <protection locked="0"/>
    </xf>
    <xf numFmtId="0" fontId="12" fillId="0" borderId="5" xfId="0" applyFont="1" applyBorder="1" applyAlignment="1" applyProtection="1">
      <alignment horizontal="center"/>
      <protection locked="0"/>
    </xf>
    <xf numFmtId="0" fontId="12" fillId="0" borderId="6" xfId="0" applyFont="1" applyBorder="1" applyAlignment="1" applyProtection="1">
      <alignment horizontal="center"/>
      <protection locked="0"/>
    </xf>
    <xf numFmtId="0" fontId="0" fillId="3" borderId="4" xfId="0" applyFill="1" applyBorder="1" applyProtection="1">
      <protection locked="0"/>
    </xf>
    <xf numFmtId="0" fontId="0" fillId="3" borderId="6" xfId="0" applyFill="1" applyBorder="1" applyProtection="1">
      <protection locked="0"/>
    </xf>
    <xf numFmtId="167" fontId="13" fillId="3" borderId="4" xfId="0" applyNumberFormat="1" applyFont="1" applyFill="1" applyBorder="1" applyAlignment="1" applyProtection="1">
      <alignment horizontal="center"/>
      <protection locked="0"/>
    </xf>
    <xf numFmtId="167" fontId="13" fillId="0" borderId="6" xfId="0" applyNumberFormat="1" applyFont="1" applyBorder="1" applyAlignment="1" applyProtection="1">
      <alignment horizontal="center"/>
      <protection locked="0"/>
    </xf>
    <xf numFmtId="164" fontId="10" fillId="4" borderId="0" xfId="0" applyNumberFormat="1" applyFont="1" applyFill="1" applyAlignment="1">
      <alignment horizontal="left"/>
    </xf>
    <xf numFmtId="0" fontId="10" fillId="4" borderId="0" xfId="0" applyFont="1" applyFill="1"/>
    <xf numFmtId="0" fontId="1" fillId="4" borderId="0" xfId="0" applyFont="1" applyFill="1"/>
    <xf numFmtId="0" fontId="0" fillId="5" borderId="0" xfId="0" applyFill="1"/>
    <xf numFmtId="0" fontId="0" fillId="4" borderId="8" xfId="0" applyFill="1" applyBorder="1" applyAlignment="1">
      <alignment horizontal="center"/>
    </xf>
    <xf numFmtId="0" fontId="9" fillId="4" borderId="6" xfId="0" applyFont="1" applyFill="1" applyBorder="1" applyAlignment="1">
      <alignment horizontal="center" vertical="center"/>
    </xf>
    <xf numFmtId="0" fontId="3" fillId="4" borderId="0" xfId="1" applyFont="1" applyFill="1" applyBorder="1" applyAlignment="1">
      <alignment vertical="center"/>
    </xf>
    <xf numFmtId="169" fontId="3" fillId="0" borderId="9" xfId="0" applyNumberFormat="1" applyFont="1" applyBorder="1" applyAlignment="1" applyProtection="1">
      <alignment horizontal="center"/>
      <protection locked="0"/>
    </xf>
    <xf numFmtId="169" fontId="0" fillId="4" borderId="0" xfId="0" applyNumberFormat="1" applyFill="1"/>
  </cellXfs>
  <cellStyles count="2">
    <cellStyle name="Normal" xfId="0" builtinId="0"/>
    <cellStyle name="Normal 3" xfId="1" xr:uid="{00000000-0005-0000-0000-000001000000}"/>
  </cellStyles>
  <dxfs count="4">
    <dxf>
      <fill>
        <patternFill>
          <bgColor rgb="FFFF0000"/>
        </patternFill>
      </fill>
    </dxf>
    <dxf>
      <font>
        <b/>
        <i val="0"/>
      </font>
      <fill>
        <patternFill patternType="solid">
          <bgColor theme="6" tint="0.39994506668294322"/>
        </patternFill>
      </fill>
    </dxf>
    <dxf>
      <font>
        <b/>
        <i val="0"/>
      </font>
      <fill>
        <patternFill>
          <fgColor indexed="64"/>
          <bgColor rgb="FFFFC000"/>
        </patternFill>
      </fill>
    </dxf>
    <dxf>
      <font>
        <b/>
        <i val="0"/>
      </font>
      <fill>
        <patternFill>
          <fgColor indexed="64"/>
          <bgColor rgb="FFFFC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BBA67-9C5B-44AA-84D6-459D07D04582}">
  <sheetPr codeName="Feuil5"/>
  <dimension ref="A2:L39"/>
  <sheetViews>
    <sheetView topLeftCell="A2" workbookViewId="0">
      <selection activeCell="F3" sqref="F3"/>
    </sheetView>
  </sheetViews>
  <sheetFormatPr defaultColWidth="10.90625" defaultRowHeight="14.5" x14ac:dyDescent="0.35"/>
  <cols>
    <col min="2" max="2" width="11.453125" style="24"/>
    <col min="10" max="10" width="10.54296875" customWidth="1"/>
    <col min="11" max="11" width="22.453125" style="24" bestFit="1" customWidth="1"/>
    <col min="12" max="12" width="28" bestFit="1" customWidth="1"/>
  </cols>
  <sheetData>
    <row r="2" spans="1:12" x14ac:dyDescent="0.35">
      <c r="A2">
        <v>38120</v>
      </c>
      <c r="B2" s="24" t="s">
        <v>24</v>
      </c>
      <c r="D2" t="s">
        <v>57</v>
      </c>
      <c r="J2">
        <v>38140</v>
      </c>
      <c r="K2" s="24" t="s">
        <v>26</v>
      </c>
      <c r="L2" t="str">
        <f>J2&amp;" "&amp;K2</f>
        <v>38140 BEAUCROISSANT</v>
      </c>
    </row>
    <row r="3" spans="1:12" x14ac:dyDescent="0.35">
      <c r="A3">
        <v>38140</v>
      </c>
      <c r="B3" s="24" t="s">
        <v>26</v>
      </c>
      <c r="D3" t="s">
        <v>58</v>
      </c>
      <c r="J3">
        <v>38300</v>
      </c>
      <c r="K3" s="24" t="s">
        <v>27</v>
      </c>
      <c r="L3" t="str">
        <f t="shared" ref="L3:L39" si="0">J3&amp;" "&amp;K3</f>
        <v>38300 BOURGOIN</v>
      </c>
    </row>
    <row r="4" spans="1:12" x14ac:dyDescent="0.35">
      <c r="A4">
        <v>38300</v>
      </c>
      <c r="B4" s="24" t="s">
        <v>27</v>
      </c>
      <c r="D4" t="s">
        <v>59</v>
      </c>
      <c r="J4">
        <v>38700</v>
      </c>
      <c r="K4" s="24" t="s">
        <v>28</v>
      </c>
      <c r="L4" t="str">
        <f t="shared" si="0"/>
        <v>38700 CORENC</v>
      </c>
    </row>
    <row r="5" spans="1:12" x14ac:dyDescent="0.35">
      <c r="A5">
        <v>38700</v>
      </c>
      <c r="B5" s="24" t="s">
        <v>28</v>
      </c>
      <c r="D5" t="s">
        <v>60</v>
      </c>
      <c r="J5">
        <v>38250</v>
      </c>
      <c r="K5" s="24" t="s">
        <v>29</v>
      </c>
      <c r="L5" t="str">
        <f t="shared" si="0"/>
        <v>38250 CORRENçON</v>
      </c>
    </row>
    <row r="6" spans="1:12" x14ac:dyDescent="0.35">
      <c r="A6">
        <v>38250</v>
      </c>
      <c r="B6" s="24" t="s">
        <v>29</v>
      </c>
      <c r="D6" t="s">
        <v>61</v>
      </c>
      <c r="J6">
        <v>38500</v>
      </c>
      <c r="K6" s="24" t="s">
        <v>30</v>
      </c>
      <c r="L6" t="str">
        <f t="shared" si="0"/>
        <v>38500 COUBLEVIE</v>
      </c>
    </row>
    <row r="7" spans="1:12" x14ac:dyDescent="0.35">
      <c r="A7">
        <v>38500</v>
      </c>
      <c r="B7" s="24" t="s">
        <v>30</v>
      </c>
      <c r="D7" t="s">
        <v>62</v>
      </c>
      <c r="J7">
        <v>38920</v>
      </c>
      <c r="K7" s="24" t="s">
        <v>31</v>
      </c>
      <c r="L7" t="str">
        <f t="shared" si="0"/>
        <v>38920 CROLLES</v>
      </c>
    </row>
    <row r="8" spans="1:12" x14ac:dyDescent="0.35">
      <c r="A8">
        <v>38920</v>
      </c>
      <c r="B8" s="24" t="s">
        <v>31</v>
      </c>
      <c r="D8" t="s">
        <v>63</v>
      </c>
      <c r="J8">
        <v>38420</v>
      </c>
      <c r="K8" s="24" t="s">
        <v>32</v>
      </c>
      <c r="L8" t="str">
        <f t="shared" si="0"/>
        <v>38420 DOMENE</v>
      </c>
    </row>
    <row r="9" spans="1:12" x14ac:dyDescent="0.35">
      <c r="A9">
        <v>38420</v>
      </c>
      <c r="B9" s="24" t="s">
        <v>32</v>
      </c>
      <c r="D9" t="s">
        <v>64</v>
      </c>
      <c r="J9">
        <v>38130</v>
      </c>
      <c r="K9" s="24" t="s">
        <v>33</v>
      </c>
      <c r="L9" t="str">
        <f t="shared" si="0"/>
        <v>38130 ECHIROLLES</v>
      </c>
    </row>
    <row r="10" spans="1:12" x14ac:dyDescent="0.35">
      <c r="A10">
        <v>38130</v>
      </c>
      <c r="B10" s="24" t="s">
        <v>33</v>
      </c>
      <c r="D10" t="s">
        <v>65</v>
      </c>
      <c r="J10">
        <v>38600</v>
      </c>
      <c r="K10" s="24" t="s">
        <v>34</v>
      </c>
      <c r="L10" t="str">
        <f t="shared" si="0"/>
        <v>38600 FONTAINE</v>
      </c>
    </row>
    <row r="11" spans="1:12" x14ac:dyDescent="0.35">
      <c r="A11">
        <v>38600</v>
      </c>
      <c r="B11" s="24" t="s">
        <v>34</v>
      </c>
      <c r="D11" t="s">
        <v>66</v>
      </c>
      <c r="J11">
        <v>38120</v>
      </c>
      <c r="K11" s="24" t="s">
        <v>35</v>
      </c>
      <c r="L11" t="str">
        <f t="shared" si="0"/>
        <v>38120 FONTANIL CORNILLON</v>
      </c>
    </row>
    <row r="12" spans="1:12" x14ac:dyDescent="0.35">
      <c r="A12">
        <v>38120</v>
      </c>
      <c r="B12" s="24" t="s">
        <v>35</v>
      </c>
      <c r="D12" t="s">
        <v>67</v>
      </c>
      <c r="J12">
        <v>38000</v>
      </c>
      <c r="K12" s="24" t="s">
        <v>36</v>
      </c>
      <c r="L12" t="str">
        <f t="shared" si="0"/>
        <v>38000 GRENOBLE</v>
      </c>
    </row>
    <row r="13" spans="1:12" x14ac:dyDescent="0.35">
      <c r="A13">
        <v>38000</v>
      </c>
      <c r="B13" s="24" t="s">
        <v>36</v>
      </c>
      <c r="D13" t="s">
        <v>68</v>
      </c>
      <c r="J13">
        <v>38140</v>
      </c>
      <c r="K13" s="24" t="s">
        <v>69</v>
      </c>
      <c r="L13" t="str">
        <f t="shared" si="0"/>
        <v>38140 IZEAUX</v>
      </c>
    </row>
    <row r="14" spans="1:12" x14ac:dyDescent="0.35">
      <c r="A14">
        <v>38500</v>
      </c>
      <c r="B14" s="24" t="s">
        <v>37</v>
      </c>
      <c r="D14" t="s">
        <v>70</v>
      </c>
      <c r="I14" s="33">
        <v>38500</v>
      </c>
      <c r="J14" s="33"/>
      <c r="K14" s="24" t="s">
        <v>37</v>
      </c>
      <c r="L14" t="str">
        <f>I14&amp;" "&amp;K14</f>
        <v>38500 LA BUISSE</v>
      </c>
    </row>
    <row r="15" spans="1:12" x14ac:dyDescent="0.35">
      <c r="A15">
        <v>38260</v>
      </c>
      <c r="B15" s="24" t="s">
        <v>38</v>
      </c>
      <c r="D15" t="s">
        <v>71</v>
      </c>
      <c r="I15" s="33">
        <v>38260</v>
      </c>
      <c r="J15" s="33"/>
      <c r="K15" s="24" t="s">
        <v>38</v>
      </c>
      <c r="L15" t="str">
        <f>I15&amp;" "&amp;K15</f>
        <v>38260 LA COTE ST ANDRE</v>
      </c>
    </row>
    <row r="16" spans="1:12" x14ac:dyDescent="0.35">
      <c r="A16">
        <v>38700</v>
      </c>
      <c r="B16" s="24" t="s">
        <v>39</v>
      </c>
      <c r="D16" t="s">
        <v>72</v>
      </c>
      <c r="J16">
        <v>38700</v>
      </c>
      <c r="K16" s="24" t="s">
        <v>39</v>
      </c>
      <c r="L16" t="str">
        <f t="shared" si="0"/>
        <v>38700 LA TRONCHE</v>
      </c>
    </row>
    <row r="17" spans="1:12" x14ac:dyDescent="0.35">
      <c r="A17">
        <v>38430</v>
      </c>
      <c r="B17" s="24" t="s">
        <v>40</v>
      </c>
      <c r="D17" t="s">
        <v>73</v>
      </c>
      <c r="J17">
        <v>38430</v>
      </c>
      <c r="K17" s="24" t="s">
        <v>40</v>
      </c>
      <c r="L17" t="str">
        <f t="shared" si="0"/>
        <v>38430 MOIRANS</v>
      </c>
    </row>
    <row r="18" spans="1:12" x14ac:dyDescent="0.35">
      <c r="A18">
        <v>38120</v>
      </c>
      <c r="B18" s="24" t="s">
        <v>41</v>
      </c>
      <c r="D18" t="s">
        <v>74</v>
      </c>
      <c r="H18" t="s">
        <v>4</v>
      </c>
      <c r="J18">
        <v>38120</v>
      </c>
      <c r="K18" s="24" t="s">
        <v>41</v>
      </c>
      <c r="L18" t="str">
        <f t="shared" si="0"/>
        <v>38120 MONT ST MARTIN</v>
      </c>
    </row>
    <row r="19" spans="1:12" x14ac:dyDescent="0.35">
      <c r="A19">
        <v>38340</v>
      </c>
      <c r="B19" s="24" t="s">
        <v>42</v>
      </c>
      <c r="D19" t="s">
        <v>75</v>
      </c>
      <c r="J19">
        <v>38340</v>
      </c>
      <c r="K19" s="24" t="s">
        <v>42</v>
      </c>
      <c r="L19" t="str">
        <f t="shared" si="0"/>
        <v>38340 POMMIERS LA PLACETTE</v>
      </c>
    </row>
    <row r="20" spans="1:12" x14ac:dyDescent="0.35">
      <c r="A20">
        <v>38120</v>
      </c>
      <c r="B20" s="24" t="s">
        <v>43</v>
      </c>
      <c r="D20" t="s">
        <v>76</v>
      </c>
      <c r="J20">
        <v>38120</v>
      </c>
      <c r="K20" s="24" t="s">
        <v>43</v>
      </c>
      <c r="L20" t="str">
        <f t="shared" si="0"/>
        <v>38120 PROVEYSIEUX</v>
      </c>
    </row>
    <row r="21" spans="1:12" x14ac:dyDescent="0.35">
      <c r="A21">
        <v>38950</v>
      </c>
      <c r="B21" s="24" t="s">
        <v>44</v>
      </c>
      <c r="D21" t="s">
        <v>77</v>
      </c>
      <c r="J21">
        <v>38950</v>
      </c>
      <c r="K21" s="24" t="s">
        <v>44</v>
      </c>
      <c r="L21" t="str">
        <f t="shared" si="0"/>
        <v>38950 QUAIX EN CHARTREUSE</v>
      </c>
    </row>
    <row r="22" spans="1:12" x14ac:dyDescent="0.35">
      <c r="A22">
        <v>38360</v>
      </c>
      <c r="B22" s="24" t="s">
        <v>45</v>
      </c>
      <c r="D22" t="s">
        <v>78</v>
      </c>
      <c r="J22">
        <v>38140</v>
      </c>
      <c r="K22" s="24" t="s">
        <v>79</v>
      </c>
      <c r="L22" t="str">
        <f t="shared" si="0"/>
        <v>38140 RIVES</v>
      </c>
    </row>
    <row r="23" spans="1:12" x14ac:dyDescent="0.35">
      <c r="A23">
        <v>38170</v>
      </c>
      <c r="B23" s="24" t="s">
        <v>46</v>
      </c>
      <c r="D23" t="s">
        <v>80</v>
      </c>
      <c r="J23">
        <v>38360</v>
      </c>
      <c r="K23" s="24" t="s">
        <v>45</v>
      </c>
      <c r="L23" t="str">
        <f t="shared" si="0"/>
        <v>38360 SASSENAGE</v>
      </c>
    </row>
    <row r="24" spans="1:12" x14ac:dyDescent="0.35">
      <c r="A24">
        <v>38180</v>
      </c>
      <c r="B24" s="24" t="s">
        <v>47</v>
      </c>
      <c r="D24" t="s">
        <v>81</v>
      </c>
      <c r="J24">
        <v>38170</v>
      </c>
      <c r="K24" s="24" t="s">
        <v>46</v>
      </c>
      <c r="L24" t="str">
        <f t="shared" si="0"/>
        <v>38170 SEYSSINET PARISET</v>
      </c>
    </row>
    <row r="25" spans="1:12" x14ac:dyDescent="0.35">
      <c r="A25">
        <v>38500</v>
      </c>
      <c r="B25" s="24" t="s">
        <v>48</v>
      </c>
      <c r="D25" t="s">
        <v>82</v>
      </c>
      <c r="J25">
        <v>38180</v>
      </c>
      <c r="K25" s="24" t="s">
        <v>47</v>
      </c>
      <c r="L25" t="str">
        <f t="shared" si="0"/>
        <v>38180 SEYSSINS</v>
      </c>
    </row>
    <row r="26" spans="1:12" x14ac:dyDescent="0.35">
      <c r="A26">
        <v>38430</v>
      </c>
      <c r="B26" s="24" t="s">
        <v>49</v>
      </c>
      <c r="D26" t="s">
        <v>83</v>
      </c>
      <c r="J26">
        <v>38590</v>
      </c>
      <c r="K26" s="24" t="s">
        <v>84</v>
      </c>
      <c r="L26" t="str">
        <f t="shared" si="0"/>
        <v>38590 SILLANS</v>
      </c>
    </row>
    <row r="27" spans="1:12" x14ac:dyDescent="0.35">
      <c r="A27">
        <v>38950</v>
      </c>
      <c r="B27" s="24" t="s">
        <v>50</v>
      </c>
      <c r="D27" t="s">
        <v>85</v>
      </c>
      <c r="J27">
        <v>38500</v>
      </c>
      <c r="K27" s="24" t="s">
        <v>48</v>
      </c>
      <c r="L27" t="str">
        <f t="shared" si="0"/>
        <v>38500 ST CASSIEN</v>
      </c>
    </row>
    <row r="28" spans="1:12" x14ac:dyDescent="0.35">
      <c r="A28">
        <v>38410</v>
      </c>
      <c r="B28" s="24" t="s">
        <v>51</v>
      </c>
      <c r="D28" t="s">
        <v>25</v>
      </c>
      <c r="J28">
        <v>38120</v>
      </c>
      <c r="K28" s="24" t="s">
        <v>24</v>
      </c>
      <c r="L28" t="str">
        <f t="shared" si="0"/>
        <v>38120 ST EGREVE</v>
      </c>
    </row>
    <row r="29" spans="1:12" x14ac:dyDescent="0.35">
      <c r="A29">
        <v>38210</v>
      </c>
      <c r="B29" s="24" t="s">
        <v>52</v>
      </c>
      <c r="D29" t="s">
        <v>86</v>
      </c>
      <c r="J29">
        <v>38430</v>
      </c>
      <c r="K29" s="24" t="s">
        <v>49</v>
      </c>
      <c r="L29" t="str">
        <f t="shared" si="0"/>
        <v>38430 ST JEAN DE MOIRANS</v>
      </c>
    </row>
    <row r="30" spans="1:12" x14ac:dyDescent="0.35">
      <c r="A30">
        <v>38250</v>
      </c>
      <c r="B30" s="24" t="s">
        <v>53</v>
      </c>
      <c r="D30" t="s">
        <v>87</v>
      </c>
      <c r="J30">
        <v>38950</v>
      </c>
      <c r="K30" s="24" t="s">
        <v>50</v>
      </c>
      <c r="L30" t="str">
        <f t="shared" si="0"/>
        <v>38950 ST MARTIN LE VINOUX</v>
      </c>
    </row>
    <row r="31" spans="1:12" x14ac:dyDescent="0.35">
      <c r="A31">
        <v>38500</v>
      </c>
      <c r="B31" s="24" t="s">
        <v>54</v>
      </c>
      <c r="D31" t="s">
        <v>88</v>
      </c>
      <c r="J31">
        <v>38070</v>
      </c>
      <c r="K31" s="24" t="s">
        <v>89</v>
      </c>
      <c r="L31" t="str">
        <f t="shared" si="0"/>
        <v>38070 ST QUENTIN SUR ISERE</v>
      </c>
    </row>
    <row r="32" spans="1:12" x14ac:dyDescent="0.35">
      <c r="A32">
        <v>38340</v>
      </c>
      <c r="B32" s="24" t="s">
        <v>55</v>
      </c>
      <c r="D32" t="s">
        <v>90</v>
      </c>
      <c r="J32">
        <v>38410</v>
      </c>
      <c r="K32" s="24" t="s">
        <v>51</v>
      </c>
      <c r="L32" t="str">
        <f t="shared" si="0"/>
        <v>38410 ST MARTIN URIAGE</v>
      </c>
    </row>
    <row r="33" spans="1:12" x14ac:dyDescent="0.35">
      <c r="A33">
        <v>38210</v>
      </c>
      <c r="B33" s="24" t="s">
        <v>56</v>
      </c>
      <c r="D33" t="s">
        <v>91</v>
      </c>
      <c r="J33">
        <v>38210</v>
      </c>
      <c r="K33" s="24" t="s">
        <v>52</v>
      </c>
      <c r="L33" t="str">
        <f t="shared" si="0"/>
        <v>38210 TULLINS</v>
      </c>
    </row>
    <row r="34" spans="1:12" x14ac:dyDescent="0.35">
      <c r="D34" t="s">
        <v>92</v>
      </c>
      <c r="J34">
        <v>38450</v>
      </c>
      <c r="K34" s="24" t="s">
        <v>93</v>
      </c>
      <c r="L34" t="str">
        <f t="shared" si="0"/>
        <v>38450 VIF</v>
      </c>
    </row>
    <row r="35" spans="1:12" x14ac:dyDescent="0.35">
      <c r="D35" t="s">
        <v>94</v>
      </c>
      <c r="J35">
        <v>38250</v>
      </c>
      <c r="K35" s="24" t="s">
        <v>53</v>
      </c>
      <c r="L35" t="str">
        <f t="shared" si="0"/>
        <v>38250 VILLARD DE LANS</v>
      </c>
    </row>
    <row r="36" spans="1:12" x14ac:dyDescent="0.35">
      <c r="D36" t="s">
        <v>95</v>
      </c>
      <c r="J36">
        <v>38470</v>
      </c>
      <c r="K36" s="24" t="s">
        <v>96</v>
      </c>
      <c r="L36" t="str">
        <f t="shared" si="0"/>
        <v>38470 VINAY</v>
      </c>
    </row>
    <row r="37" spans="1:12" x14ac:dyDescent="0.35">
      <c r="D37" t="s">
        <v>97</v>
      </c>
      <c r="J37">
        <v>38500</v>
      </c>
      <c r="K37" s="24" t="s">
        <v>54</v>
      </c>
      <c r="L37" t="str">
        <f t="shared" si="0"/>
        <v>38500 VOIRON</v>
      </c>
    </row>
    <row r="38" spans="1:12" x14ac:dyDescent="0.35">
      <c r="D38" t="s">
        <v>98</v>
      </c>
      <c r="J38">
        <v>38340</v>
      </c>
      <c r="K38" s="24" t="s">
        <v>55</v>
      </c>
      <c r="L38" t="str">
        <f t="shared" si="0"/>
        <v>38340 VOREPPE</v>
      </c>
    </row>
    <row r="39" spans="1:12" x14ac:dyDescent="0.35">
      <c r="D39" t="s">
        <v>99</v>
      </c>
      <c r="J39">
        <v>38210</v>
      </c>
      <c r="K39" s="24" t="s">
        <v>56</v>
      </c>
      <c r="L39" t="str">
        <f t="shared" si="0"/>
        <v>38210 VOUREY</v>
      </c>
    </row>
  </sheetData>
  <sheetProtection sheet="1" objects="1" scenarios="1" formatCells="0" formatRows="0"/>
  <mergeCells count="2">
    <mergeCell ref="I14:J14"/>
    <mergeCell ref="I15:J15"/>
  </mergeCells>
  <conditionalFormatting sqref="H13">
    <cfRule type="cellIs" dxfId="3" priority="2" operator="equal">
      <formula>"Banque"</formula>
    </cfRule>
  </conditionalFormatting>
  <conditionalFormatting sqref="H14">
    <cfRule type="cellIs" dxfId="2" priority="1" operator="equal">
      <formula>"N° chèque"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3"/>
  <dimension ref="A1:K342"/>
  <sheetViews>
    <sheetView tabSelected="1" zoomScaleNormal="100" workbookViewId="0">
      <selection activeCell="F4" sqref="F4"/>
    </sheetView>
  </sheetViews>
  <sheetFormatPr defaultColWidth="10.90625" defaultRowHeight="14.5" x14ac:dyDescent="0.35"/>
  <cols>
    <col min="1" max="1" width="41.1796875" customWidth="1"/>
    <col min="2" max="2" width="14.26953125" style="1" bestFit="1" customWidth="1"/>
    <col min="3" max="3" width="12.7265625" customWidth="1"/>
    <col min="4" max="4" width="20.54296875" customWidth="1"/>
    <col min="5" max="5" width="13.54296875" hidden="1" customWidth="1"/>
    <col min="6" max="6" width="9.54296875" customWidth="1"/>
    <col min="7" max="7" width="13.1796875" customWidth="1"/>
    <col min="8" max="8" width="10.26953125" customWidth="1"/>
    <col min="9" max="9" width="10" customWidth="1"/>
    <col min="11" max="11" width="51.54296875" customWidth="1"/>
  </cols>
  <sheetData>
    <row r="1" spans="1:11" ht="15" thickBot="1" x14ac:dyDescent="0.4">
      <c r="A1" s="44" t="s">
        <v>104</v>
      </c>
      <c r="B1" s="8"/>
      <c r="C1" s="7"/>
      <c r="D1" s="7"/>
      <c r="F1" s="7"/>
      <c r="G1" s="7"/>
      <c r="H1" s="7"/>
      <c r="I1" s="7"/>
    </row>
    <row r="2" spans="1:11" ht="15" thickBot="1" x14ac:dyDescent="0.4">
      <c r="A2" s="2" t="s">
        <v>2</v>
      </c>
      <c r="B2" s="12"/>
      <c r="C2" s="25" t="s">
        <v>101</v>
      </c>
      <c r="D2" s="26"/>
      <c r="F2" s="3" t="s">
        <v>6</v>
      </c>
      <c r="G2" s="7"/>
      <c r="H2" s="3" t="s">
        <v>5</v>
      </c>
      <c r="I2" s="7"/>
    </row>
    <row r="3" spans="1:11" ht="34" thickBot="1" x14ac:dyDescent="0.8">
      <c r="A3" s="32" t="s">
        <v>102</v>
      </c>
      <c r="B3" s="33"/>
      <c r="C3" s="34" t="s">
        <v>103</v>
      </c>
      <c r="D3" s="35"/>
      <c r="E3" s="36"/>
      <c r="F3" s="37" t="s">
        <v>60</v>
      </c>
      <c r="G3" s="38"/>
      <c r="H3" s="39">
        <v>609710985</v>
      </c>
      <c r="I3" s="40"/>
    </row>
    <row r="4" spans="1:11" x14ac:dyDescent="0.35">
      <c r="A4" s="9" t="s">
        <v>0</v>
      </c>
      <c r="B4" s="15" t="s">
        <v>1</v>
      </c>
      <c r="C4" s="7"/>
      <c r="D4" s="7"/>
      <c r="E4" s="7"/>
      <c r="F4" s="7"/>
      <c r="G4" s="7"/>
      <c r="H4" s="7"/>
      <c r="I4" s="7"/>
    </row>
    <row r="5" spans="1:11" ht="15.5" x14ac:dyDescent="0.35">
      <c r="A5" s="7"/>
      <c r="B5" s="16" t="s">
        <v>8</v>
      </c>
      <c r="C5" s="9"/>
      <c r="D5" s="41" t="s">
        <v>105</v>
      </c>
      <c r="E5" s="42"/>
      <c r="F5" s="43" t="s">
        <v>3</v>
      </c>
      <c r="G5" s="43"/>
      <c r="H5" s="43" t="s">
        <v>106</v>
      </c>
      <c r="I5" s="43"/>
    </row>
    <row r="6" spans="1:11" x14ac:dyDescent="0.35">
      <c r="A6" s="7"/>
      <c r="B6" s="16" t="s">
        <v>13</v>
      </c>
      <c r="C6" s="7"/>
      <c r="D6" s="17" t="s">
        <v>9</v>
      </c>
      <c r="E6" s="17"/>
      <c r="F6" s="49">
        <f>SUM(B7:C99)</f>
        <v>30</v>
      </c>
      <c r="G6" s="17"/>
      <c r="H6" s="49">
        <f>ROUNDUP(COUNTA(A7:A999)/15,0)*2</f>
        <v>2</v>
      </c>
      <c r="I6" s="7"/>
    </row>
    <row r="7" spans="1:11" ht="15" customHeight="1" x14ac:dyDescent="0.35">
      <c r="A7" s="5" t="s">
        <v>107</v>
      </c>
      <c r="B7" s="48">
        <v>2</v>
      </c>
      <c r="C7" s="47"/>
      <c r="D7" s="18" t="s">
        <v>10</v>
      </c>
      <c r="E7" s="19" t="e">
        <f>IF(A7="","",#REF!)</f>
        <v>#REF!</v>
      </c>
      <c r="F7" s="11"/>
      <c r="G7" s="7"/>
      <c r="H7" s="7"/>
      <c r="I7" s="7"/>
      <c r="J7" t="str">
        <f>IF(AND(B7="",A7&lt;&gt;""),"manque le prix","")</f>
        <v/>
      </c>
    </row>
    <row r="8" spans="1:11" ht="15" customHeight="1" thickBot="1" x14ac:dyDescent="0.4">
      <c r="A8" s="5" t="s">
        <v>107</v>
      </c>
      <c r="B8" s="48">
        <v>2</v>
      </c>
      <c r="C8" s="47"/>
      <c r="D8" s="18" t="s">
        <v>11</v>
      </c>
      <c r="E8" s="20" t="e">
        <f>IF(A8="","",#REF!)</f>
        <v>#REF!</v>
      </c>
      <c r="F8" s="45"/>
      <c r="G8" s="45"/>
      <c r="H8" s="8" t="str">
        <f>IF(D7="oui",2,"")</f>
        <v/>
      </c>
      <c r="I8" s="7"/>
      <c r="J8" t="str">
        <f t="shared" ref="J8:J21" si="0">IF(AND(B8="",A8&lt;&gt;""),"manque le prix","")</f>
        <v/>
      </c>
    </row>
    <row r="9" spans="1:11" ht="15" customHeight="1" thickBot="1" x14ac:dyDescent="0.4">
      <c r="A9" s="5" t="s">
        <v>107</v>
      </c>
      <c r="B9" s="48">
        <v>2</v>
      </c>
      <c r="C9" s="47"/>
      <c r="D9" s="18" t="s">
        <v>12</v>
      </c>
      <c r="E9" s="20" t="e">
        <f>IF(A9="","",#REF!)</f>
        <v>#REF!</v>
      </c>
      <c r="F9" s="13" t="s">
        <v>7</v>
      </c>
      <c r="G9" s="14"/>
      <c r="H9" s="7"/>
      <c r="I9" s="7"/>
      <c r="J9" t="str">
        <f t="shared" si="0"/>
        <v/>
      </c>
    </row>
    <row r="10" spans="1:11" ht="15" customHeight="1" x14ac:dyDescent="0.35">
      <c r="A10" s="5" t="s">
        <v>107</v>
      </c>
      <c r="B10" s="48">
        <v>2</v>
      </c>
      <c r="C10" s="47"/>
      <c r="D10" s="10"/>
      <c r="E10" s="11" t="e">
        <f>IF(A10="","",#REF!)</f>
        <v>#REF!</v>
      </c>
      <c r="F10" s="29" t="s">
        <v>100</v>
      </c>
      <c r="G10" s="29"/>
      <c r="H10" s="29"/>
      <c r="I10" s="30"/>
      <c r="J10" t="str">
        <f t="shared" si="0"/>
        <v/>
      </c>
    </row>
    <row r="11" spans="1:11" ht="15" customHeight="1" thickBot="1" x14ac:dyDescent="0.4">
      <c r="A11" s="5" t="s">
        <v>107</v>
      </c>
      <c r="B11" s="48">
        <v>2</v>
      </c>
      <c r="C11" s="47"/>
      <c r="D11" s="21"/>
      <c r="E11" s="11" t="e">
        <f>IF(A11="","",#REF!)</f>
        <v>#REF!</v>
      </c>
      <c r="F11" s="28"/>
      <c r="G11" s="28"/>
      <c r="H11" s="28"/>
      <c r="I11" s="31"/>
      <c r="J11" t="str">
        <f t="shared" si="0"/>
        <v/>
      </c>
      <c r="K11" s="27"/>
    </row>
    <row r="12" spans="1:11" ht="15" customHeight="1" thickBot="1" x14ac:dyDescent="0.4">
      <c r="A12" s="5" t="s">
        <v>107</v>
      </c>
      <c r="B12" s="48">
        <v>2</v>
      </c>
      <c r="C12" s="47"/>
      <c r="D12" s="46" t="s">
        <v>14</v>
      </c>
      <c r="E12" s="11" t="e">
        <f>IF(A12="","",#REF!)</f>
        <v>#REF!</v>
      </c>
      <c r="F12" s="28"/>
      <c r="G12" s="28"/>
      <c r="H12" s="28"/>
      <c r="I12" s="31"/>
      <c r="J12" t="str">
        <f t="shared" si="0"/>
        <v/>
      </c>
      <c r="K12" s="28"/>
    </row>
    <row r="13" spans="1:11" ht="15" customHeight="1" x14ac:dyDescent="0.35">
      <c r="A13" s="5" t="s">
        <v>107</v>
      </c>
      <c r="B13" s="48">
        <v>2</v>
      </c>
      <c r="C13" s="47"/>
      <c r="D13" s="22" t="s">
        <v>18</v>
      </c>
      <c r="E13" s="11" t="e">
        <f>IF(A13="","",#REF!)</f>
        <v>#REF!</v>
      </c>
      <c r="F13" s="28"/>
      <c r="G13" s="28"/>
      <c r="H13" s="28"/>
      <c r="I13" s="31"/>
      <c r="J13" t="str">
        <f t="shared" si="0"/>
        <v/>
      </c>
      <c r="K13" s="28"/>
    </row>
    <row r="14" spans="1:11" ht="15" customHeight="1" x14ac:dyDescent="0.35">
      <c r="A14" s="5" t="s">
        <v>107</v>
      </c>
      <c r="B14" s="48">
        <v>2</v>
      </c>
      <c r="C14" s="47"/>
      <c r="D14" s="23" t="s">
        <v>21</v>
      </c>
      <c r="E14" s="11" t="e">
        <f>IF(A14="","",#REF!)</f>
        <v>#REF!</v>
      </c>
      <c r="F14" s="28"/>
      <c r="G14" s="28"/>
      <c r="H14" s="28"/>
      <c r="I14" s="31"/>
      <c r="J14" t="str">
        <f t="shared" si="0"/>
        <v/>
      </c>
      <c r="K14" s="28"/>
    </row>
    <row r="15" spans="1:11" ht="15" customHeight="1" x14ac:dyDescent="0.35">
      <c r="A15" s="5" t="s">
        <v>107</v>
      </c>
      <c r="B15" s="48">
        <v>2</v>
      </c>
      <c r="C15" s="47"/>
      <c r="D15" s="22" t="s">
        <v>22</v>
      </c>
      <c r="E15" s="11" t="e">
        <f>IF(A15="","",#REF!)</f>
        <v>#REF!</v>
      </c>
      <c r="F15" s="28"/>
      <c r="G15" s="28"/>
      <c r="H15" s="28"/>
      <c r="I15" s="31"/>
      <c r="J15" t="str">
        <f t="shared" si="0"/>
        <v/>
      </c>
      <c r="K15" s="28"/>
    </row>
    <row r="16" spans="1:11" ht="15" customHeight="1" x14ac:dyDescent="0.35">
      <c r="A16" s="5" t="s">
        <v>107</v>
      </c>
      <c r="B16" s="48">
        <v>2</v>
      </c>
      <c r="C16" s="47"/>
      <c r="D16" s="22" t="s">
        <v>23</v>
      </c>
      <c r="E16" s="11" t="e">
        <f>IF(A16="","",#REF!)</f>
        <v>#REF!</v>
      </c>
      <c r="F16" s="28"/>
      <c r="G16" s="28"/>
      <c r="H16" s="28"/>
      <c r="I16" s="31"/>
      <c r="J16" t="str">
        <f t="shared" si="0"/>
        <v/>
      </c>
      <c r="K16" s="28"/>
    </row>
    <row r="17" spans="1:11" ht="15" customHeight="1" x14ac:dyDescent="0.35">
      <c r="A17" s="5" t="s">
        <v>107</v>
      </c>
      <c r="B17" s="48">
        <v>2</v>
      </c>
      <c r="C17" s="47"/>
      <c r="D17" s="22" t="s">
        <v>20</v>
      </c>
      <c r="E17" s="11" t="e">
        <f>IF(A17="","",#REF!)</f>
        <v>#REF!</v>
      </c>
      <c r="F17" s="28"/>
      <c r="G17" s="28"/>
      <c r="H17" s="28"/>
      <c r="I17" s="31"/>
      <c r="J17" t="str">
        <f t="shared" si="0"/>
        <v/>
      </c>
      <c r="K17" s="28"/>
    </row>
    <row r="18" spans="1:11" ht="15" customHeight="1" x14ac:dyDescent="0.35">
      <c r="A18" s="5" t="s">
        <v>107</v>
      </c>
      <c r="B18" s="48">
        <v>2</v>
      </c>
      <c r="C18" s="47"/>
      <c r="D18" s="22" t="s">
        <v>15</v>
      </c>
      <c r="E18" s="11" t="e">
        <f>IF(A18="","",#REF!)</f>
        <v>#REF!</v>
      </c>
      <c r="F18" s="28"/>
      <c r="G18" s="28"/>
      <c r="H18" s="28"/>
      <c r="I18" s="31"/>
      <c r="J18" t="str">
        <f t="shared" si="0"/>
        <v/>
      </c>
      <c r="K18" s="28"/>
    </row>
    <row r="19" spans="1:11" x14ac:dyDescent="0.35">
      <c r="A19" s="5" t="s">
        <v>107</v>
      </c>
      <c r="B19" s="48">
        <v>2</v>
      </c>
      <c r="C19" s="47"/>
      <c r="D19" s="22" t="s">
        <v>16</v>
      </c>
      <c r="E19" s="11" t="e">
        <f>IF(A19="","",#REF!)</f>
        <v>#REF!</v>
      </c>
      <c r="F19" s="28"/>
      <c r="G19" s="28"/>
      <c r="H19" s="28"/>
      <c r="I19" s="31"/>
      <c r="J19" t="str">
        <f t="shared" si="0"/>
        <v/>
      </c>
      <c r="K19" s="28"/>
    </row>
    <row r="20" spans="1:11" x14ac:dyDescent="0.35">
      <c r="A20" s="5" t="s">
        <v>107</v>
      </c>
      <c r="B20" s="48">
        <v>2</v>
      </c>
      <c r="C20" s="47"/>
      <c r="D20" s="22" t="s">
        <v>19</v>
      </c>
      <c r="E20" s="11" t="e">
        <f>IF(A20="","",#REF!)</f>
        <v>#REF!</v>
      </c>
      <c r="F20" s="28"/>
      <c r="G20" s="28"/>
      <c r="H20" s="28"/>
      <c r="I20" s="31"/>
      <c r="J20" t="str">
        <f t="shared" si="0"/>
        <v/>
      </c>
      <c r="K20" s="28"/>
    </row>
    <row r="21" spans="1:11" x14ac:dyDescent="0.35">
      <c r="A21" s="5" t="s">
        <v>107</v>
      </c>
      <c r="B21" s="48">
        <v>2</v>
      </c>
      <c r="C21" s="47"/>
      <c r="D21" s="22" t="s">
        <v>17</v>
      </c>
      <c r="E21" s="11" t="e">
        <f>IF(A21="","",#REF!)</f>
        <v>#REF!</v>
      </c>
      <c r="F21" s="28"/>
      <c r="G21" s="28"/>
      <c r="H21" s="28"/>
      <c r="I21" s="31"/>
      <c r="J21" t="str">
        <f t="shared" si="0"/>
        <v/>
      </c>
      <c r="K21" s="28"/>
    </row>
    <row r="22" spans="1:11" x14ac:dyDescent="0.35">
      <c r="A22" s="5"/>
      <c r="B22" s="6"/>
      <c r="E22" s="4" t="str">
        <f>IF(A22="","",#REF!)</f>
        <v/>
      </c>
    </row>
    <row r="23" spans="1:11" x14ac:dyDescent="0.35">
      <c r="A23" s="5"/>
      <c r="B23" s="6"/>
      <c r="E23" s="4" t="str">
        <f>IF(A23="","",#REF!)</f>
        <v/>
      </c>
    </row>
    <row r="24" spans="1:11" x14ac:dyDescent="0.35">
      <c r="A24" s="5"/>
      <c r="B24" s="6"/>
      <c r="C24" t="s">
        <v>4</v>
      </c>
      <c r="E24" s="4" t="str">
        <f>IF(A24="","",#REF!)</f>
        <v/>
      </c>
    </row>
    <row r="25" spans="1:11" x14ac:dyDescent="0.35">
      <c r="A25" s="5"/>
      <c r="B25" s="6"/>
      <c r="E25" s="4" t="str">
        <f>IF(A25="","",#REF!)</f>
        <v/>
      </c>
    </row>
    <row r="26" spans="1:11" x14ac:dyDescent="0.35">
      <c r="A26" s="5"/>
      <c r="B26" s="6"/>
      <c r="E26" s="4" t="str">
        <f>IF(A26="","",#REF!)</f>
        <v/>
      </c>
    </row>
    <row r="27" spans="1:11" x14ac:dyDescent="0.35">
      <c r="A27" s="5"/>
      <c r="B27" s="6"/>
      <c r="E27" s="4" t="str">
        <f>IF(A27="","",#REF!)</f>
        <v/>
      </c>
    </row>
    <row r="28" spans="1:11" x14ac:dyDescent="0.35">
      <c r="A28" s="5"/>
      <c r="B28" s="6"/>
      <c r="E28" s="4" t="str">
        <f>IF(A28="","",#REF!)</f>
        <v/>
      </c>
    </row>
    <row r="29" spans="1:11" x14ac:dyDescent="0.35">
      <c r="A29" s="5"/>
      <c r="B29" s="6"/>
      <c r="E29" s="4" t="str">
        <f>IF(A29="","",#REF!)</f>
        <v/>
      </c>
    </row>
    <row r="30" spans="1:11" x14ac:dyDescent="0.35">
      <c r="A30" s="5"/>
      <c r="B30" s="6"/>
      <c r="E30" s="4" t="str">
        <f>IF(A30="","",#REF!)</f>
        <v/>
      </c>
    </row>
    <row r="31" spans="1:11" x14ac:dyDescent="0.35">
      <c r="A31" s="5"/>
      <c r="B31" s="6"/>
      <c r="E31" s="4" t="str">
        <f>IF(A31="","",#REF!)</f>
        <v/>
      </c>
    </row>
    <row r="32" spans="1:11" x14ac:dyDescent="0.35">
      <c r="A32" s="5"/>
      <c r="B32" s="6"/>
      <c r="E32" s="4" t="str">
        <f>IF(A32="","",#REF!)</f>
        <v/>
      </c>
    </row>
    <row r="33" spans="1:5" x14ac:dyDescent="0.35">
      <c r="A33" s="5"/>
      <c r="B33" s="6"/>
      <c r="E33" s="4" t="str">
        <f>IF(A33="","",#REF!)</f>
        <v/>
      </c>
    </row>
    <row r="34" spans="1:5" x14ac:dyDescent="0.35">
      <c r="A34" s="5"/>
      <c r="B34" s="6"/>
      <c r="E34" s="4" t="str">
        <f>IF(A34="","",#REF!)</f>
        <v/>
      </c>
    </row>
    <row r="35" spans="1:5" x14ac:dyDescent="0.35">
      <c r="A35" s="5"/>
      <c r="B35" s="6"/>
      <c r="E35" s="4" t="str">
        <f>IF(A35="","",#REF!)</f>
        <v/>
      </c>
    </row>
    <row r="36" spans="1:5" x14ac:dyDescent="0.35">
      <c r="A36" s="5"/>
      <c r="B36" s="6"/>
    </row>
    <row r="37" spans="1:5" x14ac:dyDescent="0.35">
      <c r="A37" s="5"/>
      <c r="B37" s="6"/>
    </row>
    <row r="38" spans="1:5" x14ac:dyDescent="0.35">
      <c r="A38" s="5"/>
      <c r="B38" s="6"/>
    </row>
    <row r="39" spans="1:5" x14ac:dyDescent="0.35">
      <c r="A39" s="5"/>
      <c r="B39" s="6"/>
    </row>
    <row r="40" spans="1:5" x14ac:dyDescent="0.35">
      <c r="A40" s="5"/>
      <c r="B40" s="6"/>
    </row>
    <row r="41" spans="1:5" x14ac:dyDescent="0.35">
      <c r="A41" s="5"/>
      <c r="B41" s="6"/>
    </row>
    <row r="42" spans="1:5" x14ac:dyDescent="0.35">
      <c r="A42" s="5"/>
      <c r="B42" s="6"/>
    </row>
    <row r="43" spans="1:5" x14ac:dyDescent="0.35">
      <c r="A43" s="5"/>
      <c r="B43" s="6"/>
    </row>
    <row r="44" spans="1:5" x14ac:dyDescent="0.35">
      <c r="A44" s="5"/>
      <c r="B44" s="6"/>
    </row>
    <row r="45" spans="1:5" x14ac:dyDescent="0.35">
      <c r="A45" s="5"/>
      <c r="B45" s="6"/>
    </row>
    <row r="46" spans="1:5" x14ac:dyDescent="0.35">
      <c r="A46" s="5"/>
      <c r="B46" s="6"/>
    </row>
    <row r="47" spans="1:5" x14ac:dyDescent="0.35">
      <c r="A47" s="5"/>
      <c r="B47" s="6"/>
    </row>
    <row r="48" spans="1:5" x14ac:dyDescent="0.35">
      <c r="A48" s="5"/>
      <c r="B48" s="6"/>
    </row>
    <row r="49" spans="1:2" x14ac:dyDescent="0.35">
      <c r="A49" s="5"/>
      <c r="B49" s="6"/>
    </row>
    <row r="50" spans="1:2" x14ac:dyDescent="0.35">
      <c r="A50" s="5"/>
      <c r="B50" s="6"/>
    </row>
    <row r="51" spans="1:2" x14ac:dyDescent="0.35">
      <c r="A51" s="5"/>
      <c r="B51" s="6"/>
    </row>
    <row r="52" spans="1:2" x14ac:dyDescent="0.35">
      <c r="A52" s="5"/>
      <c r="B52" s="6"/>
    </row>
    <row r="53" spans="1:2" x14ac:dyDescent="0.35">
      <c r="A53" s="5"/>
      <c r="B53" s="6"/>
    </row>
    <row r="54" spans="1:2" x14ac:dyDescent="0.35">
      <c r="A54" s="5"/>
      <c r="B54" s="6"/>
    </row>
    <row r="55" spans="1:2" x14ac:dyDescent="0.35">
      <c r="A55" s="5"/>
      <c r="B55" s="6"/>
    </row>
    <row r="56" spans="1:2" x14ac:dyDescent="0.35">
      <c r="A56" s="5"/>
      <c r="B56" s="6"/>
    </row>
    <row r="57" spans="1:2" x14ac:dyDescent="0.35">
      <c r="A57" s="5"/>
      <c r="B57" s="6"/>
    </row>
    <row r="58" spans="1:2" x14ac:dyDescent="0.35">
      <c r="A58" s="5"/>
      <c r="B58" s="6"/>
    </row>
    <row r="59" spans="1:2" x14ac:dyDescent="0.35">
      <c r="A59" s="5"/>
      <c r="B59" s="6"/>
    </row>
    <row r="60" spans="1:2" x14ac:dyDescent="0.35">
      <c r="A60" s="5"/>
      <c r="B60" s="6"/>
    </row>
    <row r="61" spans="1:2" x14ac:dyDescent="0.35">
      <c r="A61" s="5"/>
      <c r="B61" s="6"/>
    </row>
    <row r="62" spans="1:2" x14ac:dyDescent="0.35">
      <c r="A62" s="5"/>
      <c r="B62" s="6"/>
    </row>
    <row r="63" spans="1:2" x14ac:dyDescent="0.35">
      <c r="A63" s="5"/>
      <c r="B63" s="6"/>
    </row>
    <row r="64" spans="1:2" x14ac:dyDescent="0.35">
      <c r="A64" s="5"/>
      <c r="B64" s="6"/>
    </row>
    <row r="65" spans="1:2" x14ac:dyDescent="0.35">
      <c r="A65" s="5"/>
      <c r="B65" s="6"/>
    </row>
    <row r="66" spans="1:2" x14ac:dyDescent="0.35">
      <c r="A66" s="5"/>
      <c r="B66" s="6"/>
    </row>
    <row r="67" spans="1:2" x14ac:dyDescent="0.35">
      <c r="A67" s="5"/>
      <c r="B67" s="6"/>
    </row>
    <row r="68" spans="1:2" x14ac:dyDescent="0.35">
      <c r="A68" s="5"/>
      <c r="B68" s="6"/>
    </row>
    <row r="69" spans="1:2" x14ac:dyDescent="0.35">
      <c r="A69" s="5"/>
      <c r="B69" s="6"/>
    </row>
    <row r="70" spans="1:2" x14ac:dyDescent="0.35">
      <c r="A70" s="5"/>
      <c r="B70" s="6"/>
    </row>
    <row r="71" spans="1:2" x14ac:dyDescent="0.35">
      <c r="A71" s="5"/>
      <c r="B71" s="6"/>
    </row>
    <row r="72" spans="1:2" x14ac:dyDescent="0.35">
      <c r="A72" s="5"/>
      <c r="B72" s="6"/>
    </row>
    <row r="73" spans="1:2" x14ac:dyDescent="0.35">
      <c r="A73" s="5"/>
      <c r="B73" s="6"/>
    </row>
    <row r="74" spans="1:2" x14ac:dyDescent="0.35">
      <c r="A74" s="5"/>
      <c r="B74" s="6"/>
    </row>
    <row r="75" spans="1:2" x14ac:dyDescent="0.35">
      <c r="A75" s="5"/>
      <c r="B75" s="6"/>
    </row>
    <row r="76" spans="1:2" x14ac:dyDescent="0.35">
      <c r="A76" s="5"/>
      <c r="B76" s="6"/>
    </row>
    <row r="77" spans="1:2" x14ac:dyDescent="0.35">
      <c r="A77" s="5"/>
      <c r="B77" s="6"/>
    </row>
    <row r="78" spans="1:2" x14ac:dyDescent="0.35">
      <c r="A78" s="5"/>
      <c r="B78" s="6"/>
    </row>
    <row r="79" spans="1:2" x14ac:dyDescent="0.35">
      <c r="A79" s="5"/>
      <c r="B79" s="6"/>
    </row>
    <row r="80" spans="1:2" x14ac:dyDescent="0.35">
      <c r="A80" s="5"/>
      <c r="B80" s="6"/>
    </row>
    <row r="81" spans="1:2" x14ac:dyDescent="0.35">
      <c r="A81" s="5"/>
      <c r="B81" s="6"/>
    </row>
    <row r="82" spans="1:2" x14ac:dyDescent="0.35">
      <c r="A82" s="5"/>
      <c r="B82" s="6"/>
    </row>
    <row r="83" spans="1:2" x14ac:dyDescent="0.35">
      <c r="A83" s="5"/>
      <c r="B83" s="6"/>
    </row>
    <row r="84" spans="1:2" x14ac:dyDescent="0.35">
      <c r="A84" s="5"/>
      <c r="B84" s="6"/>
    </row>
    <row r="85" spans="1:2" x14ac:dyDescent="0.35">
      <c r="A85" s="5"/>
      <c r="B85" s="6"/>
    </row>
    <row r="86" spans="1:2" x14ac:dyDescent="0.35">
      <c r="A86" s="5"/>
      <c r="B86" s="6"/>
    </row>
    <row r="87" spans="1:2" x14ac:dyDescent="0.35">
      <c r="A87" s="5"/>
      <c r="B87" s="6"/>
    </row>
    <row r="88" spans="1:2" x14ac:dyDescent="0.35">
      <c r="A88" s="5"/>
      <c r="B88" s="6"/>
    </row>
    <row r="89" spans="1:2" x14ac:dyDescent="0.35">
      <c r="A89" s="5"/>
      <c r="B89" s="6"/>
    </row>
    <row r="90" spans="1:2" x14ac:dyDescent="0.35">
      <c r="A90" s="5"/>
      <c r="B90" s="6"/>
    </row>
    <row r="91" spans="1:2" x14ac:dyDescent="0.35">
      <c r="A91" s="5"/>
      <c r="B91" s="6"/>
    </row>
    <row r="92" spans="1:2" x14ac:dyDescent="0.35">
      <c r="A92" s="5"/>
      <c r="B92" s="6"/>
    </row>
    <row r="93" spans="1:2" x14ac:dyDescent="0.35">
      <c r="A93" s="5"/>
      <c r="B93" s="6"/>
    </row>
    <row r="94" spans="1:2" x14ac:dyDescent="0.35">
      <c r="A94" s="5"/>
      <c r="B94" s="6"/>
    </row>
    <row r="95" spans="1:2" x14ac:dyDescent="0.35">
      <c r="A95" s="5"/>
      <c r="B95" s="6"/>
    </row>
    <row r="96" spans="1:2" x14ac:dyDescent="0.35">
      <c r="A96" s="5"/>
      <c r="B96" s="6"/>
    </row>
    <row r="97" spans="1:2" x14ac:dyDescent="0.35">
      <c r="A97" s="5"/>
      <c r="B97" s="6"/>
    </row>
    <row r="98" spans="1:2" x14ac:dyDescent="0.35">
      <c r="A98" s="5"/>
      <c r="B98" s="6"/>
    </row>
    <row r="99" spans="1:2" x14ac:dyDescent="0.35">
      <c r="A99" s="5"/>
      <c r="B99" s="6"/>
    </row>
    <row r="100" spans="1:2" x14ac:dyDescent="0.35">
      <c r="A100" s="5"/>
      <c r="B100" s="6"/>
    </row>
    <row r="101" spans="1:2" x14ac:dyDescent="0.35">
      <c r="A101" s="5"/>
      <c r="B101" s="6"/>
    </row>
    <row r="102" spans="1:2" x14ac:dyDescent="0.35">
      <c r="A102" s="5"/>
      <c r="B102" s="6"/>
    </row>
    <row r="103" spans="1:2" x14ac:dyDescent="0.35">
      <c r="A103" s="5"/>
      <c r="B103" s="6"/>
    </row>
    <row r="104" spans="1:2" x14ac:dyDescent="0.35">
      <c r="A104" s="5"/>
      <c r="B104" s="6"/>
    </row>
    <row r="105" spans="1:2" x14ac:dyDescent="0.35">
      <c r="A105" s="5"/>
      <c r="B105" s="6"/>
    </row>
    <row r="106" spans="1:2" x14ac:dyDescent="0.35">
      <c r="A106" s="5"/>
      <c r="B106" s="6"/>
    </row>
    <row r="107" spans="1:2" x14ac:dyDescent="0.35">
      <c r="A107" s="5"/>
      <c r="B107" s="6"/>
    </row>
    <row r="108" spans="1:2" x14ac:dyDescent="0.35">
      <c r="A108" s="5"/>
      <c r="B108" s="6"/>
    </row>
    <row r="109" spans="1:2" x14ac:dyDescent="0.35">
      <c r="A109" s="5"/>
      <c r="B109" s="6"/>
    </row>
    <row r="110" spans="1:2" x14ac:dyDescent="0.35">
      <c r="A110" s="5"/>
      <c r="B110" s="6"/>
    </row>
    <row r="111" spans="1:2" x14ac:dyDescent="0.35">
      <c r="A111" s="5"/>
      <c r="B111" s="6"/>
    </row>
    <row r="112" spans="1:2" x14ac:dyDescent="0.35">
      <c r="A112" s="5"/>
      <c r="B112" s="6"/>
    </row>
    <row r="113" spans="1:2" x14ac:dyDescent="0.35">
      <c r="A113" s="5"/>
      <c r="B113" s="6"/>
    </row>
    <row r="114" spans="1:2" x14ac:dyDescent="0.35">
      <c r="A114" s="5"/>
      <c r="B114" s="6"/>
    </row>
    <row r="115" spans="1:2" x14ac:dyDescent="0.35">
      <c r="A115" s="5"/>
      <c r="B115" s="6"/>
    </row>
    <row r="116" spans="1:2" x14ac:dyDescent="0.35">
      <c r="A116" s="5"/>
      <c r="B116" s="6"/>
    </row>
    <row r="117" spans="1:2" x14ac:dyDescent="0.35">
      <c r="A117" s="5"/>
      <c r="B117" s="6"/>
    </row>
    <row r="118" spans="1:2" x14ac:dyDescent="0.35">
      <c r="A118" s="5"/>
      <c r="B118" s="6"/>
    </row>
    <row r="119" spans="1:2" x14ac:dyDescent="0.35">
      <c r="A119" s="5"/>
      <c r="B119" s="6"/>
    </row>
    <row r="120" spans="1:2" x14ac:dyDescent="0.35">
      <c r="A120" s="5"/>
      <c r="B120" s="6"/>
    </row>
    <row r="121" spans="1:2" x14ac:dyDescent="0.35">
      <c r="A121" s="5"/>
      <c r="B121" s="6"/>
    </row>
    <row r="122" spans="1:2" x14ac:dyDescent="0.35">
      <c r="A122" s="5"/>
      <c r="B122" s="6"/>
    </row>
    <row r="123" spans="1:2" x14ac:dyDescent="0.35">
      <c r="A123" s="5"/>
      <c r="B123" s="6"/>
    </row>
    <row r="124" spans="1:2" x14ac:dyDescent="0.35">
      <c r="A124" s="5"/>
      <c r="B124" s="6"/>
    </row>
    <row r="125" spans="1:2" x14ac:dyDescent="0.35">
      <c r="A125" s="5"/>
      <c r="B125" s="6"/>
    </row>
    <row r="126" spans="1:2" x14ac:dyDescent="0.35">
      <c r="A126" s="5"/>
      <c r="B126" s="6"/>
    </row>
    <row r="127" spans="1:2" x14ac:dyDescent="0.35">
      <c r="A127" s="5"/>
      <c r="B127" s="6"/>
    </row>
    <row r="128" spans="1:2" x14ac:dyDescent="0.35">
      <c r="A128" s="5"/>
      <c r="B128" s="6"/>
    </row>
    <row r="129" spans="1:2" x14ac:dyDescent="0.35">
      <c r="A129" s="5"/>
      <c r="B129" s="6"/>
    </row>
    <row r="130" spans="1:2" x14ac:dyDescent="0.35">
      <c r="A130" s="5"/>
      <c r="B130" s="6"/>
    </row>
    <row r="131" spans="1:2" x14ac:dyDescent="0.35">
      <c r="A131" s="5"/>
      <c r="B131" s="6"/>
    </row>
    <row r="132" spans="1:2" x14ac:dyDescent="0.35">
      <c r="A132" s="5"/>
      <c r="B132" s="6"/>
    </row>
    <row r="133" spans="1:2" x14ac:dyDescent="0.35">
      <c r="A133" s="5"/>
      <c r="B133" s="6"/>
    </row>
    <row r="134" spans="1:2" x14ac:dyDescent="0.35">
      <c r="A134" s="5"/>
      <c r="B134" s="6"/>
    </row>
    <row r="135" spans="1:2" x14ac:dyDescent="0.35">
      <c r="A135" s="5"/>
      <c r="B135" s="6"/>
    </row>
    <row r="136" spans="1:2" x14ac:dyDescent="0.35">
      <c r="A136" s="5"/>
      <c r="B136" s="6"/>
    </row>
    <row r="137" spans="1:2" x14ac:dyDescent="0.35">
      <c r="A137" s="5"/>
      <c r="B137" s="6"/>
    </row>
    <row r="138" spans="1:2" x14ac:dyDescent="0.35">
      <c r="A138" s="5"/>
      <c r="B138" s="6"/>
    </row>
    <row r="139" spans="1:2" x14ac:dyDescent="0.35">
      <c r="A139" s="5"/>
      <c r="B139" s="6"/>
    </row>
    <row r="140" spans="1:2" x14ac:dyDescent="0.35">
      <c r="A140" s="5"/>
      <c r="B140" s="6"/>
    </row>
    <row r="141" spans="1:2" x14ac:dyDescent="0.35">
      <c r="A141" s="5"/>
      <c r="B141" s="6"/>
    </row>
    <row r="142" spans="1:2" x14ac:dyDescent="0.35">
      <c r="A142" s="5"/>
      <c r="B142" s="6"/>
    </row>
    <row r="143" spans="1:2" x14ac:dyDescent="0.35">
      <c r="A143" s="5"/>
      <c r="B143" s="6"/>
    </row>
    <row r="144" spans="1:2" x14ac:dyDescent="0.35">
      <c r="A144" s="5"/>
      <c r="B144" s="6"/>
    </row>
    <row r="145" spans="1:2" x14ac:dyDescent="0.35">
      <c r="A145" s="5"/>
      <c r="B145" s="6"/>
    </row>
    <row r="146" spans="1:2" x14ac:dyDescent="0.35">
      <c r="A146" s="5"/>
      <c r="B146" s="6"/>
    </row>
    <row r="147" spans="1:2" x14ac:dyDescent="0.35">
      <c r="A147" s="5"/>
      <c r="B147" s="6"/>
    </row>
    <row r="148" spans="1:2" x14ac:dyDescent="0.35">
      <c r="A148" s="5"/>
      <c r="B148" s="6"/>
    </row>
    <row r="149" spans="1:2" x14ac:dyDescent="0.35">
      <c r="A149" s="5"/>
      <c r="B149" s="6"/>
    </row>
    <row r="150" spans="1:2" x14ac:dyDescent="0.35">
      <c r="A150" s="5"/>
      <c r="B150" s="6"/>
    </row>
    <row r="151" spans="1:2" x14ac:dyDescent="0.35">
      <c r="A151" s="5"/>
      <c r="B151" s="6"/>
    </row>
    <row r="152" spans="1:2" x14ac:dyDescent="0.35">
      <c r="A152" s="5"/>
      <c r="B152" s="6"/>
    </row>
    <row r="153" spans="1:2" x14ac:dyDescent="0.35">
      <c r="A153" s="5"/>
      <c r="B153" s="6"/>
    </row>
    <row r="154" spans="1:2" x14ac:dyDescent="0.35">
      <c r="A154" s="5"/>
      <c r="B154" s="6"/>
    </row>
    <row r="155" spans="1:2" x14ac:dyDescent="0.35">
      <c r="A155" s="5"/>
      <c r="B155" s="6"/>
    </row>
    <row r="156" spans="1:2" x14ac:dyDescent="0.35">
      <c r="A156" s="5"/>
      <c r="B156" s="6"/>
    </row>
    <row r="157" spans="1:2" x14ac:dyDescent="0.35">
      <c r="A157" s="5"/>
      <c r="B157" s="6"/>
    </row>
    <row r="158" spans="1:2" x14ac:dyDescent="0.35">
      <c r="A158" s="5"/>
      <c r="B158" s="6"/>
    </row>
    <row r="159" spans="1:2" x14ac:dyDescent="0.35">
      <c r="A159" s="5"/>
      <c r="B159" s="6"/>
    </row>
    <row r="160" spans="1:2" x14ac:dyDescent="0.35">
      <c r="A160" s="5"/>
      <c r="B160" s="6"/>
    </row>
    <row r="161" spans="1:2" x14ac:dyDescent="0.35">
      <c r="A161" s="5"/>
      <c r="B161" s="6"/>
    </row>
    <row r="162" spans="1:2" x14ac:dyDescent="0.35">
      <c r="A162" s="5"/>
      <c r="B162" s="6"/>
    </row>
    <row r="163" spans="1:2" x14ac:dyDescent="0.35">
      <c r="A163" s="5"/>
      <c r="B163" s="6"/>
    </row>
    <row r="164" spans="1:2" x14ac:dyDescent="0.35">
      <c r="A164" s="5"/>
      <c r="B164" s="6"/>
    </row>
    <row r="165" spans="1:2" x14ac:dyDescent="0.35">
      <c r="A165" s="5"/>
      <c r="B165" s="6"/>
    </row>
    <row r="166" spans="1:2" x14ac:dyDescent="0.35">
      <c r="A166" s="5"/>
      <c r="B166" s="6"/>
    </row>
    <row r="167" spans="1:2" x14ac:dyDescent="0.35">
      <c r="A167" s="5"/>
      <c r="B167" s="6"/>
    </row>
    <row r="168" spans="1:2" x14ac:dyDescent="0.35">
      <c r="A168" s="5"/>
      <c r="B168" s="6"/>
    </row>
    <row r="169" spans="1:2" x14ac:dyDescent="0.35">
      <c r="A169" s="5"/>
      <c r="B169" s="6"/>
    </row>
    <row r="170" spans="1:2" x14ac:dyDescent="0.35">
      <c r="A170" s="5"/>
      <c r="B170" s="6"/>
    </row>
    <row r="171" spans="1:2" x14ac:dyDescent="0.35">
      <c r="A171" s="5"/>
      <c r="B171" s="6"/>
    </row>
    <row r="172" spans="1:2" x14ac:dyDescent="0.35">
      <c r="A172" s="5"/>
      <c r="B172" s="6"/>
    </row>
    <row r="173" spans="1:2" x14ac:dyDescent="0.35">
      <c r="A173" s="5"/>
      <c r="B173" s="6"/>
    </row>
    <row r="174" spans="1:2" x14ac:dyDescent="0.35">
      <c r="A174" s="5"/>
      <c r="B174" s="6"/>
    </row>
    <row r="175" spans="1:2" x14ac:dyDescent="0.35">
      <c r="A175" s="5"/>
      <c r="B175" s="6"/>
    </row>
    <row r="176" spans="1:2" x14ac:dyDescent="0.35">
      <c r="A176" s="5"/>
      <c r="B176" s="6"/>
    </row>
    <row r="177" spans="1:2" x14ac:dyDescent="0.35">
      <c r="A177" s="5"/>
      <c r="B177" s="6"/>
    </row>
    <row r="178" spans="1:2" x14ac:dyDescent="0.35">
      <c r="A178" s="5"/>
      <c r="B178" s="6"/>
    </row>
    <row r="179" spans="1:2" x14ac:dyDescent="0.35">
      <c r="A179" s="5"/>
      <c r="B179" s="6"/>
    </row>
    <row r="180" spans="1:2" x14ac:dyDescent="0.35">
      <c r="A180" s="5"/>
      <c r="B180" s="6"/>
    </row>
    <row r="181" spans="1:2" x14ac:dyDescent="0.35">
      <c r="A181" s="5"/>
      <c r="B181" s="6"/>
    </row>
    <row r="182" spans="1:2" x14ac:dyDescent="0.35">
      <c r="A182" s="5"/>
      <c r="B182" s="6"/>
    </row>
    <row r="183" spans="1:2" x14ac:dyDescent="0.35">
      <c r="A183" s="5"/>
      <c r="B183" s="6"/>
    </row>
    <row r="184" spans="1:2" x14ac:dyDescent="0.35">
      <c r="A184" s="5"/>
      <c r="B184" s="6"/>
    </row>
    <row r="185" spans="1:2" x14ac:dyDescent="0.35">
      <c r="A185" s="5"/>
      <c r="B185" s="6"/>
    </row>
    <row r="186" spans="1:2" x14ac:dyDescent="0.35">
      <c r="A186" s="5"/>
      <c r="B186" s="6"/>
    </row>
    <row r="187" spans="1:2" x14ac:dyDescent="0.35">
      <c r="A187" s="5"/>
      <c r="B187" s="6"/>
    </row>
    <row r="188" spans="1:2" x14ac:dyDescent="0.35">
      <c r="A188" s="5"/>
      <c r="B188" s="6"/>
    </row>
    <row r="189" spans="1:2" x14ac:dyDescent="0.35">
      <c r="A189" s="5"/>
      <c r="B189" s="6"/>
    </row>
    <row r="190" spans="1:2" x14ac:dyDescent="0.35">
      <c r="A190" s="5"/>
      <c r="B190" s="6"/>
    </row>
    <row r="191" spans="1:2" x14ac:dyDescent="0.35">
      <c r="A191" s="5"/>
      <c r="B191" s="6"/>
    </row>
    <row r="192" spans="1:2" x14ac:dyDescent="0.35">
      <c r="A192" s="5"/>
      <c r="B192" s="6"/>
    </row>
    <row r="193" spans="1:2" x14ac:dyDescent="0.35">
      <c r="A193" s="5"/>
      <c r="B193" s="6"/>
    </row>
    <row r="194" spans="1:2" x14ac:dyDescent="0.35">
      <c r="A194" s="5"/>
      <c r="B194" s="6"/>
    </row>
    <row r="195" spans="1:2" x14ac:dyDescent="0.35">
      <c r="A195" s="5"/>
      <c r="B195" s="6"/>
    </row>
    <row r="196" spans="1:2" x14ac:dyDescent="0.35">
      <c r="A196" s="5"/>
      <c r="B196" s="6"/>
    </row>
    <row r="197" spans="1:2" x14ac:dyDescent="0.35">
      <c r="A197" s="5"/>
      <c r="B197" s="6"/>
    </row>
    <row r="198" spans="1:2" x14ac:dyDescent="0.35">
      <c r="A198" s="5"/>
      <c r="B198" s="6"/>
    </row>
    <row r="199" spans="1:2" x14ac:dyDescent="0.35">
      <c r="A199" s="5"/>
      <c r="B199" s="6"/>
    </row>
    <row r="200" spans="1:2" x14ac:dyDescent="0.35">
      <c r="A200" s="5"/>
      <c r="B200" s="6"/>
    </row>
    <row r="201" spans="1:2" x14ac:dyDescent="0.35">
      <c r="A201" s="5"/>
      <c r="B201" s="6"/>
    </row>
    <row r="202" spans="1:2" x14ac:dyDescent="0.35">
      <c r="A202" s="5"/>
      <c r="B202" s="6"/>
    </row>
    <row r="203" spans="1:2" x14ac:dyDescent="0.35">
      <c r="A203" s="5"/>
      <c r="B203" s="6"/>
    </row>
    <row r="204" spans="1:2" x14ac:dyDescent="0.35">
      <c r="A204" s="5"/>
      <c r="B204" s="6"/>
    </row>
    <row r="205" spans="1:2" x14ac:dyDescent="0.35">
      <c r="A205" s="5"/>
      <c r="B205" s="6"/>
    </row>
    <row r="206" spans="1:2" x14ac:dyDescent="0.35">
      <c r="A206" s="5"/>
      <c r="B206" s="6"/>
    </row>
    <row r="207" spans="1:2" x14ac:dyDescent="0.35">
      <c r="A207" s="5"/>
      <c r="B207" s="6"/>
    </row>
    <row r="208" spans="1:2" x14ac:dyDescent="0.35">
      <c r="A208" s="5"/>
      <c r="B208" s="6"/>
    </row>
    <row r="209" spans="1:2" x14ac:dyDescent="0.35">
      <c r="A209" s="5"/>
      <c r="B209" s="6"/>
    </row>
    <row r="210" spans="1:2" x14ac:dyDescent="0.35">
      <c r="A210" s="5"/>
      <c r="B210" s="6"/>
    </row>
    <row r="211" spans="1:2" x14ac:dyDescent="0.35">
      <c r="A211" s="5"/>
      <c r="B211" s="6"/>
    </row>
    <row r="212" spans="1:2" x14ac:dyDescent="0.35">
      <c r="A212" s="5"/>
      <c r="B212" s="6"/>
    </row>
    <row r="213" spans="1:2" x14ac:dyDescent="0.35">
      <c r="A213" s="5"/>
      <c r="B213" s="6"/>
    </row>
    <row r="214" spans="1:2" x14ac:dyDescent="0.35">
      <c r="A214" s="5"/>
      <c r="B214" s="6"/>
    </row>
    <row r="215" spans="1:2" x14ac:dyDescent="0.35">
      <c r="A215" s="5"/>
      <c r="B215" s="6"/>
    </row>
    <row r="216" spans="1:2" x14ac:dyDescent="0.35">
      <c r="A216" s="5"/>
      <c r="B216" s="6"/>
    </row>
    <row r="217" spans="1:2" x14ac:dyDescent="0.35">
      <c r="A217" s="5"/>
      <c r="B217" s="6"/>
    </row>
    <row r="218" spans="1:2" x14ac:dyDescent="0.35">
      <c r="A218" s="5"/>
      <c r="B218" s="6"/>
    </row>
    <row r="219" spans="1:2" x14ac:dyDescent="0.35">
      <c r="A219" s="5"/>
      <c r="B219" s="6"/>
    </row>
    <row r="220" spans="1:2" x14ac:dyDescent="0.35">
      <c r="A220" s="5"/>
      <c r="B220" s="6"/>
    </row>
    <row r="221" spans="1:2" x14ac:dyDescent="0.35">
      <c r="A221" s="5"/>
      <c r="B221" s="6"/>
    </row>
    <row r="222" spans="1:2" x14ac:dyDescent="0.35">
      <c r="A222" s="5"/>
      <c r="B222" s="6"/>
    </row>
    <row r="223" spans="1:2" x14ac:dyDescent="0.35">
      <c r="A223" s="5"/>
      <c r="B223" s="6"/>
    </row>
    <row r="224" spans="1:2" x14ac:dyDescent="0.35">
      <c r="A224" s="5"/>
      <c r="B224" s="6"/>
    </row>
    <row r="225" spans="1:2" x14ac:dyDescent="0.35">
      <c r="A225" s="5"/>
      <c r="B225" s="6"/>
    </row>
    <row r="226" spans="1:2" x14ac:dyDescent="0.35">
      <c r="A226" s="5"/>
      <c r="B226" s="6"/>
    </row>
    <row r="227" spans="1:2" x14ac:dyDescent="0.35">
      <c r="A227" s="5"/>
      <c r="B227" s="6"/>
    </row>
    <row r="228" spans="1:2" x14ac:dyDescent="0.35">
      <c r="A228" s="5"/>
      <c r="B228" s="6"/>
    </row>
    <row r="229" spans="1:2" x14ac:dyDescent="0.35">
      <c r="A229" s="5"/>
      <c r="B229" s="6"/>
    </row>
    <row r="230" spans="1:2" x14ac:dyDescent="0.35">
      <c r="A230" s="5"/>
      <c r="B230" s="6"/>
    </row>
    <row r="231" spans="1:2" x14ac:dyDescent="0.35">
      <c r="A231" s="5"/>
      <c r="B231" s="6"/>
    </row>
    <row r="232" spans="1:2" x14ac:dyDescent="0.35">
      <c r="A232" s="5"/>
      <c r="B232" s="6"/>
    </row>
    <row r="233" spans="1:2" x14ac:dyDescent="0.35">
      <c r="A233" s="5"/>
      <c r="B233" s="6"/>
    </row>
    <row r="234" spans="1:2" x14ac:dyDescent="0.35">
      <c r="A234" s="5"/>
      <c r="B234" s="6"/>
    </row>
    <row r="235" spans="1:2" x14ac:dyDescent="0.35">
      <c r="A235" s="5"/>
      <c r="B235" s="6"/>
    </row>
    <row r="236" spans="1:2" x14ac:dyDescent="0.35">
      <c r="A236" s="5"/>
      <c r="B236" s="6"/>
    </row>
    <row r="237" spans="1:2" x14ac:dyDescent="0.35">
      <c r="A237" s="5"/>
      <c r="B237" s="6"/>
    </row>
    <row r="238" spans="1:2" x14ac:dyDescent="0.35">
      <c r="A238" s="5"/>
      <c r="B238" s="6"/>
    </row>
    <row r="239" spans="1:2" x14ac:dyDescent="0.35">
      <c r="A239" s="5"/>
      <c r="B239" s="6"/>
    </row>
    <row r="240" spans="1:2" x14ac:dyDescent="0.35">
      <c r="A240" s="5"/>
      <c r="B240" s="6"/>
    </row>
    <row r="241" spans="1:2" x14ac:dyDescent="0.35">
      <c r="A241" s="5"/>
      <c r="B241" s="6"/>
    </row>
    <row r="242" spans="1:2" x14ac:dyDescent="0.35">
      <c r="A242" s="5"/>
      <c r="B242" s="6"/>
    </row>
    <row r="243" spans="1:2" x14ac:dyDescent="0.35">
      <c r="A243" s="5"/>
      <c r="B243" s="6"/>
    </row>
    <row r="244" spans="1:2" x14ac:dyDescent="0.35">
      <c r="A244" s="5"/>
      <c r="B244" s="6"/>
    </row>
    <row r="245" spans="1:2" x14ac:dyDescent="0.35">
      <c r="A245" s="5"/>
      <c r="B245" s="6"/>
    </row>
    <row r="246" spans="1:2" x14ac:dyDescent="0.35">
      <c r="A246" s="5"/>
      <c r="B246" s="6"/>
    </row>
    <row r="247" spans="1:2" x14ac:dyDescent="0.35">
      <c r="A247" s="5"/>
      <c r="B247" s="6"/>
    </row>
    <row r="248" spans="1:2" x14ac:dyDescent="0.35">
      <c r="A248" s="5"/>
      <c r="B248" s="6"/>
    </row>
    <row r="249" spans="1:2" x14ac:dyDescent="0.35">
      <c r="A249" s="5"/>
      <c r="B249" s="6"/>
    </row>
    <row r="250" spans="1:2" x14ac:dyDescent="0.35">
      <c r="A250" s="5"/>
      <c r="B250" s="6"/>
    </row>
    <row r="251" spans="1:2" x14ac:dyDescent="0.35">
      <c r="A251" s="5"/>
      <c r="B251" s="6"/>
    </row>
    <row r="252" spans="1:2" x14ac:dyDescent="0.35">
      <c r="A252" s="5"/>
      <c r="B252" s="6"/>
    </row>
    <row r="253" spans="1:2" x14ac:dyDescent="0.35">
      <c r="A253" s="5"/>
      <c r="B253" s="6"/>
    </row>
    <row r="254" spans="1:2" x14ac:dyDescent="0.35">
      <c r="A254" s="5"/>
      <c r="B254" s="6"/>
    </row>
    <row r="255" spans="1:2" x14ac:dyDescent="0.35">
      <c r="A255" s="5"/>
      <c r="B255" s="6"/>
    </row>
    <row r="256" spans="1:2" x14ac:dyDescent="0.35">
      <c r="A256" s="5"/>
      <c r="B256" s="6"/>
    </row>
    <row r="257" spans="1:2" x14ac:dyDescent="0.35">
      <c r="A257" s="5"/>
      <c r="B257" s="6"/>
    </row>
    <row r="258" spans="1:2" x14ac:dyDescent="0.35">
      <c r="A258" s="5"/>
      <c r="B258" s="6"/>
    </row>
    <row r="259" spans="1:2" x14ac:dyDescent="0.35">
      <c r="A259" s="5"/>
      <c r="B259" s="6"/>
    </row>
    <row r="260" spans="1:2" x14ac:dyDescent="0.35">
      <c r="A260" s="5"/>
      <c r="B260" s="6"/>
    </row>
    <row r="261" spans="1:2" x14ac:dyDescent="0.35">
      <c r="A261" s="5"/>
      <c r="B261" s="6"/>
    </row>
    <row r="262" spans="1:2" x14ac:dyDescent="0.35">
      <c r="A262" s="5"/>
      <c r="B262" s="6"/>
    </row>
    <row r="263" spans="1:2" x14ac:dyDescent="0.35">
      <c r="A263" s="5"/>
      <c r="B263" s="6"/>
    </row>
    <row r="264" spans="1:2" x14ac:dyDescent="0.35">
      <c r="A264" s="5"/>
      <c r="B264" s="6"/>
    </row>
    <row r="265" spans="1:2" x14ac:dyDescent="0.35">
      <c r="A265" s="5"/>
      <c r="B265" s="6"/>
    </row>
    <row r="266" spans="1:2" x14ac:dyDescent="0.35">
      <c r="A266" s="5"/>
      <c r="B266" s="6"/>
    </row>
    <row r="267" spans="1:2" x14ac:dyDescent="0.35">
      <c r="A267" s="5"/>
      <c r="B267" s="6"/>
    </row>
    <row r="268" spans="1:2" x14ac:dyDescent="0.35">
      <c r="A268" s="5"/>
      <c r="B268" s="6"/>
    </row>
    <row r="269" spans="1:2" x14ac:dyDescent="0.35">
      <c r="A269" s="5"/>
      <c r="B269" s="6"/>
    </row>
    <row r="270" spans="1:2" x14ac:dyDescent="0.35">
      <c r="A270" s="5"/>
      <c r="B270" s="6"/>
    </row>
    <row r="271" spans="1:2" x14ac:dyDescent="0.35">
      <c r="A271" s="5"/>
      <c r="B271" s="6"/>
    </row>
    <row r="272" spans="1:2" x14ac:dyDescent="0.35">
      <c r="A272" s="5"/>
      <c r="B272" s="6"/>
    </row>
    <row r="273" spans="1:2" x14ac:dyDescent="0.35">
      <c r="A273" s="5"/>
      <c r="B273" s="6"/>
    </row>
    <row r="274" spans="1:2" x14ac:dyDescent="0.35">
      <c r="A274" s="5"/>
      <c r="B274" s="6"/>
    </row>
    <row r="275" spans="1:2" x14ac:dyDescent="0.35">
      <c r="A275" s="5"/>
      <c r="B275" s="6"/>
    </row>
    <row r="276" spans="1:2" x14ac:dyDescent="0.35">
      <c r="A276" s="5"/>
      <c r="B276" s="6"/>
    </row>
    <row r="277" spans="1:2" x14ac:dyDescent="0.35">
      <c r="A277" s="5"/>
      <c r="B277" s="6"/>
    </row>
    <row r="278" spans="1:2" x14ac:dyDescent="0.35">
      <c r="A278" s="5"/>
      <c r="B278" s="6"/>
    </row>
    <row r="279" spans="1:2" x14ac:dyDescent="0.35">
      <c r="A279" s="5"/>
      <c r="B279" s="6"/>
    </row>
    <row r="280" spans="1:2" x14ac:dyDescent="0.35">
      <c r="A280" s="5"/>
      <c r="B280" s="6"/>
    </row>
    <row r="281" spans="1:2" x14ac:dyDescent="0.35">
      <c r="A281" s="5"/>
      <c r="B281" s="6"/>
    </row>
    <row r="282" spans="1:2" x14ac:dyDescent="0.35">
      <c r="A282" s="5"/>
      <c r="B282" s="6"/>
    </row>
    <row r="283" spans="1:2" x14ac:dyDescent="0.35">
      <c r="A283" s="5"/>
      <c r="B283" s="6"/>
    </row>
    <row r="284" spans="1:2" x14ac:dyDescent="0.35">
      <c r="A284" s="5"/>
      <c r="B284" s="6"/>
    </row>
    <row r="285" spans="1:2" x14ac:dyDescent="0.35">
      <c r="A285" s="5"/>
      <c r="B285" s="6"/>
    </row>
    <row r="286" spans="1:2" x14ac:dyDescent="0.35">
      <c r="A286" s="5"/>
      <c r="B286" s="6"/>
    </row>
    <row r="287" spans="1:2" x14ac:dyDescent="0.35">
      <c r="A287" s="5"/>
      <c r="B287" s="6"/>
    </row>
    <row r="288" spans="1:2" x14ac:dyDescent="0.35">
      <c r="A288" s="5"/>
      <c r="B288" s="6"/>
    </row>
    <row r="289" spans="1:2" x14ac:dyDescent="0.35">
      <c r="A289" s="5"/>
      <c r="B289" s="6"/>
    </row>
    <row r="290" spans="1:2" x14ac:dyDescent="0.35">
      <c r="A290" s="5"/>
      <c r="B290" s="6"/>
    </row>
    <row r="291" spans="1:2" x14ac:dyDescent="0.35">
      <c r="A291" s="5"/>
      <c r="B291" s="6"/>
    </row>
    <row r="292" spans="1:2" x14ac:dyDescent="0.35">
      <c r="A292" s="5"/>
      <c r="B292" s="6"/>
    </row>
    <row r="293" spans="1:2" x14ac:dyDescent="0.35">
      <c r="A293" s="5"/>
      <c r="B293" s="6"/>
    </row>
    <row r="294" spans="1:2" x14ac:dyDescent="0.35">
      <c r="A294" s="5"/>
      <c r="B294" s="6"/>
    </row>
    <row r="295" spans="1:2" x14ac:dyDescent="0.35">
      <c r="A295" s="5"/>
      <c r="B295" s="6"/>
    </row>
    <row r="296" spans="1:2" x14ac:dyDescent="0.35">
      <c r="A296" s="5"/>
      <c r="B296" s="6"/>
    </row>
    <row r="297" spans="1:2" x14ac:dyDescent="0.35">
      <c r="A297" s="5"/>
      <c r="B297" s="6"/>
    </row>
    <row r="298" spans="1:2" x14ac:dyDescent="0.35">
      <c r="A298" s="5"/>
      <c r="B298" s="6"/>
    </row>
    <row r="299" spans="1:2" x14ac:dyDescent="0.35">
      <c r="A299" s="5"/>
      <c r="B299" s="6"/>
    </row>
    <row r="300" spans="1:2" x14ac:dyDescent="0.35">
      <c r="A300" s="5"/>
      <c r="B300" s="6"/>
    </row>
    <row r="301" spans="1:2" x14ac:dyDescent="0.35">
      <c r="A301" s="5"/>
      <c r="B301" s="6"/>
    </row>
    <row r="302" spans="1:2" x14ac:dyDescent="0.35">
      <c r="A302" s="5"/>
      <c r="B302" s="6"/>
    </row>
    <row r="303" spans="1:2" x14ac:dyDescent="0.35">
      <c r="A303" s="5"/>
      <c r="B303" s="6"/>
    </row>
    <row r="304" spans="1:2" x14ac:dyDescent="0.35">
      <c r="A304" s="5"/>
      <c r="B304" s="6"/>
    </row>
    <row r="305" spans="1:2" x14ac:dyDescent="0.35">
      <c r="A305" s="5"/>
      <c r="B305" s="6"/>
    </row>
    <row r="306" spans="1:2" x14ac:dyDescent="0.35">
      <c r="A306" s="5"/>
      <c r="B306" s="6"/>
    </row>
    <row r="307" spans="1:2" x14ac:dyDescent="0.35">
      <c r="A307" s="5"/>
      <c r="B307" s="6"/>
    </row>
    <row r="308" spans="1:2" x14ac:dyDescent="0.35">
      <c r="A308" s="5"/>
      <c r="B308" s="6"/>
    </row>
    <row r="309" spans="1:2" x14ac:dyDescent="0.35">
      <c r="A309" s="5"/>
      <c r="B309" s="6"/>
    </row>
    <row r="310" spans="1:2" x14ac:dyDescent="0.35">
      <c r="A310" s="5"/>
      <c r="B310" s="6"/>
    </row>
    <row r="311" spans="1:2" x14ac:dyDescent="0.35">
      <c r="A311" s="5"/>
      <c r="B311" s="6"/>
    </row>
    <row r="312" spans="1:2" x14ac:dyDescent="0.35">
      <c r="A312" s="5"/>
      <c r="B312" s="6"/>
    </row>
    <row r="313" spans="1:2" x14ac:dyDescent="0.35">
      <c r="A313" s="5"/>
      <c r="B313" s="6"/>
    </row>
    <row r="314" spans="1:2" x14ac:dyDescent="0.35">
      <c r="A314" s="5"/>
      <c r="B314" s="6"/>
    </row>
    <row r="315" spans="1:2" x14ac:dyDescent="0.35">
      <c r="A315" s="5"/>
      <c r="B315" s="6"/>
    </row>
    <row r="316" spans="1:2" x14ac:dyDescent="0.35">
      <c r="A316" s="5"/>
      <c r="B316" s="6"/>
    </row>
    <row r="317" spans="1:2" x14ac:dyDescent="0.35">
      <c r="A317" s="5"/>
      <c r="B317" s="6"/>
    </row>
    <row r="318" spans="1:2" x14ac:dyDescent="0.35">
      <c r="A318" s="5"/>
      <c r="B318" s="6"/>
    </row>
    <row r="319" spans="1:2" x14ac:dyDescent="0.35">
      <c r="A319" s="5"/>
      <c r="B319" s="6"/>
    </row>
    <row r="320" spans="1:2" x14ac:dyDescent="0.35">
      <c r="A320" s="5"/>
      <c r="B320" s="6"/>
    </row>
    <row r="321" spans="1:2" x14ac:dyDescent="0.35">
      <c r="A321" s="5"/>
      <c r="B321" s="6"/>
    </row>
    <row r="322" spans="1:2" x14ac:dyDescent="0.35">
      <c r="A322" s="5"/>
      <c r="B322" s="6"/>
    </row>
    <row r="323" spans="1:2" x14ac:dyDescent="0.35">
      <c r="A323" s="5"/>
      <c r="B323" s="6"/>
    </row>
    <row r="324" spans="1:2" x14ac:dyDescent="0.35">
      <c r="A324" s="5"/>
      <c r="B324" s="6"/>
    </row>
    <row r="325" spans="1:2" x14ac:dyDescent="0.35">
      <c r="A325" s="5"/>
      <c r="B325" s="6"/>
    </row>
    <row r="326" spans="1:2" x14ac:dyDescent="0.35">
      <c r="A326" s="5"/>
      <c r="B326" s="6"/>
    </row>
    <row r="327" spans="1:2" x14ac:dyDescent="0.35">
      <c r="A327" s="5"/>
      <c r="B327" s="6"/>
    </row>
    <row r="328" spans="1:2" x14ac:dyDescent="0.35">
      <c r="A328" s="5"/>
      <c r="B328" s="6"/>
    </row>
    <row r="329" spans="1:2" x14ac:dyDescent="0.35">
      <c r="A329" s="5"/>
      <c r="B329" s="6"/>
    </row>
    <row r="330" spans="1:2" x14ac:dyDescent="0.35">
      <c r="A330" s="5"/>
      <c r="B330" s="6"/>
    </row>
    <row r="331" spans="1:2" x14ac:dyDescent="0.35">
      <c r="A331" s="5"/>
      <c r="B331" s="6"/>
    </row>
    <row r="332" spans="1:2" x14ac:dyDescent="0.35">
      <c r="A332" s="5"/>
      <c r="B332" s="6"/>
    </row>
    <row r="333" spans="1:2" x14ac:dyDescent="0.35">
      <c r="A333" s="5"/>
      <c r="B333" s="6"/>
    </row>
    <row r="334" spans="1:2" x14ac:dyDescent="0.35">
      <c r="A334" s="5"/>
      <c r="B334" s="6"/>
    </row>
    <row r="335" spans="1:2" x14ac:dyDescent="0.35">
      <c r="A335" s="5"/>
      <c r="B335" s="6"/>
    </row>
    <row r="336" spans="1:2" x14ac:dyDescent="0.35">
      <c r="A336" s="5"/>
      <c r="B336" s="6"/>
    </row>
    <row r="337" spans="1:2" x14ac:dyDescent="0.35">
      <c r="A337" s="5"/>
      <c r="B337" s="6"/>
    </row>
    <row r="338" spans="1:2" x14ac:dyDescent="0.35">
      <c r="A338" s="5"/>
      <c r="B338" s="6"/>
    </row>
    <row r="339" spans="1:2" x14ac:dyDescent="0.35">
      <c r="A339" s="5"/>
      <c r="B339" s="6"/>
    </row>
    <row r="340" spans="1:2" x14ac:dyDescent="0.35">
      <c r="A340" s="5"/>
      <c r="B340" s="6"/>
    </row>
    <row r="341" spans="1:2" x14ac:dyDescent="0.35">
      <c r="A341" s="5"/>
      <c r="B341" s="6"/>
    </row>
    <row r="342" spans="1:2" x14ac:dyDescent="0.35">
      <c r="A342" s="5"/>
      <c r="B342" s="6"/>
    </row>
  </sheetData>
  <sheetProtection formatCells="0" formatRows="0"/>
  <mergeCells count="11">
    <mergeCell ref="C2:D2"/>
    <mergeCell ref="K11:K21"/>
    <mergeCell ref="F10:I21"/>
    <mergeCell ref="A3:B3"/>
    <mergeCell ref="C3:E3"/>
    <mergeCell ref="F3:G3"/>
    <mergeCell ref="H3:I3"/>
    <mergeCell ref="D5:E5"/>
    <mergeCell ref="F5:G5"/>
    <mergeCell ref="H5:I5"/>
    <mergeCell ref="F8:G8"/>
  </mergeCells>
  <conditionalFormatting sqref="F3">
    <cfRule type="cellIs" dxfId="1" priority="2" operator="equal">
      <formula>"Adresse"</formula>
    </cfRule>
  </conditionalFormatting>
  <conditionalFormatting sqref="J7:J21">
    <cfRule type="cellIs" dxfId="0" priority="1" operator="equal">
      <formula>"manque le prix"</formula>
    </cfRule>
  </conditionalFormatting>
  <dataValidations count="1">
    <dataValidation type="whole" allowBlank="1" showInputMessage="1" showErrorMessage="1" error="Pas de décimale" prompt="Saisir un nombre entier sans décimale. Prix minimum 1 €." sqref="B7:B342" xr:uid="{BD4C8A2E-09CE-49D3-8D75-53E942177D0F}">
      <formula1>1</formula1>
      <formula2>9999999999</formula2>
    </dataValidation>
  </dataValidations>
  <pageMargins left="0.70866141732283472" right="0.70866141732283472" top="0.74803149606299213" bottom="0.74803149606299213" header="0.31496062992125984" footer="0.31496062992125984"/>
  <pageSetup paperSize="9" scale="97" orientation="landscape" r:id="rId1"/>
  <headerFooter>
    <oddHeader>&amp;L&amp;D&amp;C&amp;"-,Gras"&amp;14&amp;K00B050Association Familiale de Saint-Egrève&amp;"-,Normal"&amp;11&amp;K01+000
33, avenue de l’Europe 38120 Saint-Egrève
&amp;R&amp;T</oddHeader>
    <oddFooter>&amp;L&amp;F&amp;A</oddFooter>
  </headerFooter>
  <extLst>
    <ext xmlns:x14="http://schemas.microsoft.com/office/spreadsheetml/2009/9/main" uri="{CCE6A557-97BC-4b89-ADB6-D9C93CAAB3DF}">
      <x14:dataValidations xmlns:xm="http://schemas.microsoft.com/office/excel/2006/main" count="1">
        <x14:dataValidation type="list" allowBlank="1" showInputMessage="1" promptTitle="choisir dans la liste" prompt="ou saisir le code et la ville" xr:uid="{00000000-0002-0000-0100-000002000000}">
          <x14:formula1>
            <xm:f>'codes postaux'!$D:$D</xm:f>
          </x14:formula1>
          <xm:sqref>F3:G3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codes postaux</vt:lpstr>
      <vt:lpstr>client01</vt:lpstr>
      <vt:lpstr>client01!Print_Area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Hervé</dc:creator>
  <cp:lastModifiedBy>Benjamin Baumann</cp:lastModifiedBy>
  <cp:lastPrinted>2022-10-03T17:54:53Z</cp:lastPrinted>
  <dcterms:created xsi:type="dcterms:W3CDTF">2015-03-01T19:26:43Z</dcterms:created>
  <dcterms:modified xsi:type="dcterms:W3CDTF">2026-05-06T10:00:36Z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4b7cbc-c708-4bae-92f9-e7d5cd5d68c6_Enabled">
    <vt:lpwstr>true</vt:lpwstr>
  </property>
  <property fmtid="{D5CDD505-2E9C-101B-9397-08002B2CF9AE}" pid="3" name="MSIP_Label_054b7cbc-c708-4bae-92f9-e7d5cd5d68c6_SetDate">
    <vt:lpwstr>2026-05-05T08:59:55Z</vt:lpwstr>
  </property>
  <property fmtid="{D5CDD505-2E9C-101B-9397-08002B2CF9AE}" pid="4" name="MSIP_Label_054b7cbc-c708-4bae-92f9-e7d5cd5d68c6_Method">
    <vt:lpwstr>Standard</vt:lpwstr>
  </property>
  <property fmtid="{D5CDD505-2E9C-101B-9397-08002B2CF9AE}" pid="5" name="MSIP_Label_054b7cbc-c708-4bae-92f9-e7d5cd5d68c6_Name">
    <vt:lpwstr>Internal</vt:lpwstr>
  </property>
  <property fmtid="{D5CDD505-2E9C-101B-9397-08002B2CF9AE}" pid="6" name="MSIP_Label_054b7cbc-c708-4bae-92f9-e7d5cd5d68c6_SiteId">
    <vt:lpwstr>2a35d8fd-574d-48e3-927c-8c398e225a01</vt:lpwstr>
  </property>
  <property fmtid="{D5CDD505-2E9C-101B-9397-08002B2CF9AE}" pid="7" name="MSIP_Label_054b7cbc-c708-4bae-92f9-e7d5cd5d68c6_ActionId">
    <vt:lpwstr>3c0c694d-751d-42c6-8a58-6f489df6a45a</vt:lpwstr>
  </property>
  <property fmtid="{D5CDD505-2E9C-101B-9397-08002B2CF9AE}" pid="8" name="MSIP_Label_054b7cbc-c708-4bae-92f9-e7d5cd5d68c6_ContentBits">
    <vt:lpwstr>0</vt:lpwstr>
  </property>
  <property fmtid="{D5CDD505-2E9C-101B-9397-08002B2CF9AE}" pid="9" name="MSIP_Label_054b7cbc-c708-4bae-92f9-e7d5cd5d68c6_Tag">
    <vt:lpwstr>10, 3, 0, 1</vt:lpwstr>
  </property>
</Properties>
</file>